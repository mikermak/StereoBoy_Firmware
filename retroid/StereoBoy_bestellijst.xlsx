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Prijzen" sheetId="2" state="visible" r:id="rId2"/>
    <sheet xmlns:r="http://schemas.openxmlformats.org/officeDocument/2006/relationships" name="Hoofdprint" sheetId="3" state="visible" r:id="rId3"/>
    <sheet xmlns:r="http://schemas.openxmlformats.org/officeDocument/2006/relationships" name="Cartridge" sheetId="4" state="visible" r:id="rId4"/>
    <sheet xmlns:r="http://schemas.openxmlformats.org/officeDocument/2006/relationships" name="Behuizing &amp; los" sheetId="5" state="visible" r:id="rId5"/>
    <sheet xmlns:r="http://schemas.openxmlformats.org/officeDocument/2006/relationships" name="Let op" sheetId="6" state="visible" r:id="rId6"/>
  </sheets>
  <definedNames>
    <definedName name="_xlnm._FilterDatabase" localSheetId="1" hidden="1">'Prijzen'!$A$4:$E$24</definedName>
    <definedName name="_xlnm._FilterDatabase" localSheetId="2" hidden="1">'Hoofdprint'!$A$5:$L$92</definedName>
    <definedName name="_xlnm._FilterDatabase" localSheetId="3" hidden="1">'Cartridge'!$A$4:$G$17</definedName>
    <definedName name="_xlnm._FilterDatabase" localSheetId="4" hidden="1">'Behuizing &amp; los'!$A$4:$F$19</definedName>
    <definedName name="_xlnm._FilterDatabase" localSheetId="5" hidden="1">'Let op'!$A$4:$D$18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4B5563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b val="1"/>
    </font>
    <font>
      <name val="Arial"/>
      <b val="1"/>
      <color rgb="000000FF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BBF7D0"/>
      </patternFill>
    </fill>
    <fill>
      <patternFill patternType="solid">
        <fgColor rgb="00FDE68A"/>
      </patternFill>
    </fill>
    <fill>
      <patternFill patternType="solid">
        <fgColor rgb="001F2937"/>
      </patternFill>
    </fill>
    <fill>
      <patternFill patternType="solid">
        <fgColor rgb="00FFFF00"/>
      </patternFill>
    </fill>
    <fill>
      <patternFill patternType="solid">
        <fgColor rgb="00E5E7EB"/>
      </patternFill>
    </fill>
    <fill>
      <patternFill patternType="solid">
        <fgColor rgb="00FCA5A5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5" borderId="0" pivotButton="0" quotePrefix="0" xfId="0"/>
    <xf numFmtId="0" fontId="4" fillId="3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8" fillId="0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10" customWidth="1" min="3" max="3"/>
  </cols>
  <sheetData>
    <row r="1">
      <c r="A1" s="1" t="inlineStr">
        <is>
          <t>StereoBoy - haalbaarheid en bestelplan</t>
        </is>
      </c>
    </row>
    <row r="2">
      <c r="A2" s="2" t="inlineStr">
        <is>
          <t>Gebaseerd op github.com/iamericmin/StereoBoy_Firmware (commit a4c152c, 30-9-2026) + StereoMag-cartridge van hackaday.io/project/205771</t>
        </is>
      </c>
    </row>
    <row r="4">
      <c r="A4" s="3" t="inlineStr">
        <is>
          <t>Onderdeel</t>
        </is>
      </c>
      <c r="B4" s="3" t="inlineStr">
        <is>
          <t>Status</t>
        </is>
      </c>
      <c r="C4" s="3" t="inlineStr">
        <is>
          <t>Wat betekent dat voor jou</t>
        </is>
      </c>
    </row>
    <row r="5">
      <c r="A5" s="4" t="inlineStr">
        <is>
          <t>Hoofdprint (KiCad)</t>
        </is>
      </c>
      <c r="B5" s="5" t="inlineStr">
        <is>
          <t>Compleet</t>
        </is>
      </c>
      <c r="C5" s="4" t="inlineStr">
        <is>
          <t>Schema + printontwerp staan in de repo. De ontwerper meldt dat R1 volledig werkt. 4 lagen, 1,0 mm dik, ca. 70 x 117 mm, onderdelen aan BEIDE kanten. Open het in KiCad 10 (ouder lukt niet).</t>
        </is>
      </c>
    </row>
    <row r="6">
      <c r="A6" s="4" t="inlineStr">
        <is>
          <t>Gerbers in de repo</t>
        </is>
      </c>
      <c r="B6" s="5" t="inlineStr">
        <is>
          <t>Opgelost</t>
        </is>
      </c>
      <c r="C6" s="4" t="inlineStr">
        <is>
          <t>De zip in de repo is van 9-3-2026. Nieuwe gerbers, boorbestanden en posities zijn met KiCad 10.0.6 gemaakt: zie productie/.</t>
        </is>
      </c>
    </row>
    <row r="7">
      <c r="A7" s="4" t="inlineStr">
        <is>
          <t>PSU-module</t>
        </is>
      </c>
      <c r="B7" s="4" t="inlineStr">
        <is>
          <t>Op dezelfde print</t>
        </is>
      </c>
      <c r="C7" s="4" t="inlineStr">
        <is>
          <t>Linksonder zit een los af te breken voedingsmoduletje (boost, power-mux). R1 = AAA-batterijen. De ontwerper werkt aan R2 met een LiPo - die is nog niet gepubliceerd.</t>
        </is>
      </c>
    </row>
    <row r="8">
      <c r="A8" s="4" t="inlineStr">
        <is>
          <t>Cartridge (StereoMag)</t>
        </is>
      </c>
      <c r="B8" s="6" t="inlineStr">
        <is>
          <t>Apart te downloaden</t>
        </is>
      </c>
      <c r="C8" s="4" t="inlineStr">
        <is>
          <t>Staat NIET in de GitHub-repo, wel op Hackaday (stereoMag.kicad_*). Op de cartridge zitten de flashchip (de firmware!) en het microSD-slot. Zonder cartridge start het apparaat niet.</t>
        </is>
      </c>
    </row>
    <row r="9">
      <c r="A9" s="4" t="inlineStr">
        <is>
          <t>Firmware</t>
        </is>
      </c>
      <c r="B9" s="5" t="inlineStr">
        <is>
          <t>Compileert</t>
        </is>
      </c>
      <c r="C9" s="4" t="inlineStr">
        <is>
          <t>Door mij getest: bouwt zonder fouten met Pico SDK 2.3.0 (180 KB flash, 205 KB RAM). Past ruim in de 2 MB-flash.</t>
        </is>
      </c>
    </row>
    <row r="10">
      <c r="A10" s="4" t="inlineStr">
        <is>
          <t>Firmware &lt;-&gt; cartridge</t>
        </is>
      </c>
      <c r="B10" s="5" t="inlineStr">
        <is>
          <t>Opgelost (ongetest)</t>
        </is>
      </c>
      <c r="C10" s="4" t="inlineStr">
        <is>
          <t>De firmware gebruikte SDIO; de cartridge is via SPI aangesloten. Aangepast in hw_config.c: firmware/StereoBoy_FW_sd-spi.uf2 + patch. Compileert, maar is nog niet op echte hardware getest.</t>
        </is>
      </c>
    </row>
    <row r="11">
      <c r="A11" s="4" t="inlineStr">
        <is>
          <t>Muziekbibliotheek-script</t>
        </is>
      </c>
      <c r="B11" s="6" t="inlineStr">
        <is>
          <t>Ontbreekt</t>
        </is>
      </c>
      <c r="C11" s="4" t="inlineStr">
        <is>
          <t>De firmware heeft .artists.sbc / .albums.sbc / .tracks.sbc (+ artwork.lut/bin) op de SD-kaart nodig. Het Python-script dat die maakt staat niet in de repo. Het formaat is gewoon een dump van C-structs, dus na te bouwen.</t>
        </is>
      </c>
    </row>
    <row r="12">
      <c r="A12" s="4" t="inlineStr">
        <is>
          <t>Behuizing</t>
        </is>
      </c>
      <c r="B12" s="4" t="inlineStr">
        <is>
          <t>Game Boy Pocket</t>
        </is>
      </c>
      <c r="C12" s="4" t="inlineStr">
        <is>
          <t>Past in een (aftermarket) GB Pocket-behuizing. STL's voor een 3D-geprinte batterij-achterkant + klepje staan in KiCad_files/stereoBoy_3D (te printen op je Bambu A1).</t>
        </is>
      </c>
    </row>
    <row r="13">
      <c r="A13" s="4" t="inlineStr"/>
      <c r="B13" s="4" t="inlineStr"/>
      <c r="C13" s="4" t="inlineStr"/>
    </row>
    <row r="14">
      <c r="A14" s="7" t="inlineStr">
        <is>
          <t>Conclusie</t>
        </is>
      </c>
      <c r="B14" s="7" t="inlineStr"/>
      <c r="C14" s="7" t="inlineStr">
        <is>
          <t>Haalbaar, maar geen beginnersbouwpakket. Laat de hoofdprint bij JLCPCB monteren (QFN-80 met 0,4 mm pitch en 0402-onderdelen aan twee kanten). De cartridge (SOIC/0603) en de THT-onderdelen kun je zelf solderen. Reken op 2 software-klusjes: SD-kaart via SPI, en een script voor de bibliotheek.</t>
        </is>
      </c>
    </row>
    <row r="15">
      <c r="A15" s="4" t="inlineStr"/>
      <c r="B15" s="4" t="inlineStr"/>
      <c r="C15" s="4" t="inlineStr"/>
    </row>
    <row r="16">
      <c r="A16" s="7" t="inlineStr">
        <is>
          <t>Aanpak in stappen</t>
        </is>
      </c>
      <c r="B16" s="7" t="inlineStr"/>
      <c r="C16" s="7" t="inlineStr"/>
    </row>
    <row r="17">
      <c r="A17" s="4" t="inlineStr">
        <is>
          <t>1</t>
        </is>
      </c>
      <c r="B17" s="4" t="inlineStr"/>
      <c r="C17" s="4" t="inlineStr">
        <is>
          <t>KLAAR: KiCad 10 geinstalleerd, DRC gedraaid en de productiebestanden staan in de map productie/.</t>
        </is>
      </c>
    </row>
    <row r="18">
      <c r="A18" s="4" t="inlineStr">
        <is>
          <t>2</t>
        </is>
      </c>
      <c r="B18" s="4" t="inlineStr"/>
      <c r="C18" s="4" t="inlineStr">
        <is>
          <t>Bestel bij JLCPCB: 4 lagen, 1,0 mm, ENIG. Montage aan beide kanten. Upload productie/hoofdprint/gerbers_hoofdprint.zip, JLCPCB_BOM.csv en JLCPCB_CPL.csv. Controleer in de preview de draaiing van elk IC (zie productie/BESTELLEN.md).</t>
        </is>
      </c>
    </row>
    <row r="19">
      <c r="A19" s="4" t="inlineStr">
        <is>
          <t>3</t>
        </is>
      </c>
      <c r="B19" s="4" t="inlineStr"/>
      <c r="C19" s="4" t="inlineStr">
        <is>
          <t>Onderdelen die JLC niet heeft (VS1053B-L, spoelen L1/L4/L5/L9, RGB-LED, enz.) bestel je bij Digikey/Mouser: laat ze door JLC monteren (eigen onderdelen opsturen of global sourcing) of soldeer ze zelf.</t>
        </is>
      </c>
    </row>
    <row r="20">
      <c r="A20" s="4" t="inlineStr">
        <is>
          <t>4</t>
        </is>
      </c>
      <c r="B20" s="4" t="inlineStr"/>
      <c r="C20" s="4" t="inlineStr">
        <is>
          <t>Bestel de cartridgeprint (2 lagen, 1,0 mm, ENIG voor de goudcontacten) en soldeer hem zelf - zie tabblad Cartridge.</t>
        </is>
      </c>
    </row>
    <row r="21">
      <c r="A21" s="4" t="inlineStr">
        <is>
          <t>5</t>
        </is>
      </c>
      <c r="B21" s="4" t="inlineStr"/>
      <c r="C21" s="4" t="inlineStr">
        <is>
          <t>Bestel de losse onderdelen en de behuizing (tabblad Behuizing &amp; los). Print de batterij-achterkant.</t>
        </is>
      </c>
    </row>
    <row r="22">
      <c r="A22" s="4" t="inlineStr">
        <is>
          <t>6</t>
        </is>
      </c>
      <c r="B22" s="4" t="inlineStr"/>
      <c r="C22" s="4" t="inlineStr">
        <is>
          <t>Firmware: houd SW2 (BOOTSEL) ingedrukt, druk op SW1 (reset), en sleep het .uf2-bestand naar de USB-schijf. De cartridge moet erin zitten (daar zit de flash).</t>
        </is>
      </c>
    </row>
    <row r="23">
      <c r="A23" s="4" t="inlineStr">
        <is>
          <t>7</t>
        </is>
      </c>
      <c r="B23" s="4" t="inlineStr"/>
      <c r="C23" s="4" t="inlineStr">
        <is>
          <t>Zet MP3's op een FAT32-microSD en genereer de .sbc-cachebestanden (script nog te schrijven).</t>
        </is>
      </c>
    </row>
    <row r="24">
      <c r="A24" s="4" t="inlineStr"/>
      <c r="B24" s="4" t="inlineStr"/>
      <c r="C24" s="4" t="inlineStr"/>
    </row>
    <row r="25">
      <c r="A25" s="7" t="inlineStr">
        <is>
          <t>Kostenschatting (EUR, eerste exemplaar)</t>
        </is>
      </c>
      <c r="B25" s="7" t="inlineStr"/>
      <c r="C25" s="7" t="inlineStr">
        <is>
          <t>Printprijs en onderdelen gecheckt op 1-10-2026 (zie tabblad Prijzen). De montage is een schatting.</t>
        </is>
      </c>
    </row>
    <row r="26">
      <c r="A26" s="4" t="inlineStr">
        <is>
          <t>Hoofdprint 5 st. (4 lagen, 1,0 mm, ENIG, zwart)</t>
        </is>
      </c>
      <c r="B26" s="4" t="inlineStr">
        <is>
          <t>ca. 52</t>
        </is>
      </c>
      <c r="C26" s="4" t="inlineStr">
        <is>
          <t>Gecheckt: $55,60.</t>
        </is>
      </c>
    </row>
    <row r="27">
      <c r="A27" s="4" t="inlineStr">
        <is>
          <t>Verzending JLCPCB (DHL, inclusief invoerkosten)</t>
        </is>
      </c>
      <c r="B27" s="4" t="inlineStr">
        <is>
          <t>ca. 29</t>
        </is>
      </c>
      <c r="C27" s="4" t="inlineStr">
        <is>
          <t>Gecheckt: $30,86.</t>
        </is>
      </c>
    </row>
    <row r="28">
      <c r="A28" s="4" t="inlineStr">
        <is>
          <t>Montage 2 st. aan beide kanten, incl. onderdelen</t>
        </is>
      </c>
      <c r="B28" s="4" t="inlineStr">
        <is>
          <t>140 - 205</t>
        </is>
      </c>
      <c r="C28" s="4" t="inlineStr">
        <is>
          <t>Schatting. VS1053B alleen is al $16,50 per stuk.</t>
        </is>
      </c>
    </row>
    <row r="29">
      <c r="A29" s="4" t="inlineStr">
        <is>
          <t>Digikey (L1, L4/L5, volumewiel) + verzending</t>
        </is>
      </c>
      <c r="B29" s="4" t="inlineStr">
        <is>
          <t>5 - 25</t>
        </is>
      </c>
      <c r="C29" s="4" t="inlineStr">
        <is>
          <t>Onder EUR 50 betaal je verzendkosten; je kunt JLC ze ook laten inkopen.</t>
        </is>
      </c>
    </row>
    <row r="30">
      <c r="A30" s="4" t="inlineStr">
        <is>
          <t>Cartridgeprint + onderdelen</t>
        </is>
      </c>
      <c r="B30" s="4" t="inlineStr">
        <is>
          <t>15 - 30</t>
        </is>
      </c>
      <c r="C30" s="4" t="inlineStr">
        <is>
          <t>Kan in dezelfde JLC-bestelling (scheelt verzending).</t>
        </is>
      </c>
    </row>
    <row r="31">
      <c r="A31" s="4" t="inlineStr">
        <is>
          <t>Behuizing, scherm en losse onderdelen</t>
        </is>
      </c>
      <c r="B31" s="4" t="inlineStr">
        <is>
          <t>30 - 50</t>
        </is>
      </c>
      <c r="C31" s="4" t="inlineStr">
        <is>
          <t>Gecheckt: scherm ca. EUR 3, GBP-shell EUR 11-14.</t>
        </is>
      </c>
    </row>
    <row r="32">
      <c r="A32" s="7" t="inlineStr">
        <is>
          <t>Totaal (indicatie)</t>
        </is>
      </c>
      <c r="B32" s="7" t="inlineStr">
        <is>
          <t>270 - 390</t>
        </is>
      </c>
      <c r="C32" s="7" t="inlineStr">
        <is>
          <t>Je hebt daarna onderdelen voor een tweede exemplaar.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4" customWidth="1" min="4" max="4"/>
    <col width="90" customWidth="1" min="5" max="5"/>
  </cols>
  <sheetData>
    <row r="1">
      <c r="A1" s="1" t="inlineStr">
        <is>
          <t>Gecheckte prijzen en voorraad (1-10-2026)</t>
        </is>
      </c>
    </row>
    <row r="2">
      <c r="A2" s="2" t="inlineStr">
        <is>
          <t>Opgezocht in de browser op jlcpcb.com, lcsc.com, digikey.nl en aliexpress.com. Er is niets besteld.</t>
        </is>
      </c>
    </row>
    <row r="4">
      <c r="A4" s="8" t="inlineStr">
        <is>
          <t>Wat</t>
        </is>
      </c>
      <c r="B4" s="8" t="inlineStr">
        <is>
          <t>Waar / LCSC #</t>
        </is>
      </c>
      <c r="C4" s="8" t="inlineStr">
        <is>
          <t>Voorraad</t>
        </is>
      </c>
      <c r="D4" s="8" t="inlineStr">
        <is>
          <t>Prijs</t>
        </is>
      </c>
      <c r="E4" s="8" t="inlineStr">
        <is>
          <t>Opmerking</t>
        </is>
      </c>
    </row>
    <row r="5">
      <c r="A5" s="9" t="inlineStr">
        <is>
          <t>PCB hoofdprint, 5 st.</t>
        </is>
      </c>
      <c r="B5" s="9" t="inlineStr">
        <is>
          <t>JLCPCB</t>
        </is>
      </c>
      <c r="C5" s="9" t="inlineStr">
        <is>
          <t>4 lagen, 70x117 mm, 1,0 mm, zwart, ENIG, via 0,2 mm</t>
        </is>
      </c>
      <c r="D5" s="9" t="inlineStr">
        <is>
          <t>$55,60</t>
        </is>
      </c>
      <c r="E5" s="9" t="inlineStr">
        <is>
          <t>Opbouw: board $5,10 + engineering $25 + ENIG $17,50 + zwart $8. Groen scheelt $8; HASL i.p.v. ENIG scheelt $17,50.</t>
        </is>
      </c>
    </row>
    <row r="6">
      <c r="A6" s="9" t="inlineStr">
        <is>
          <t>Verzending DHL Express</t>
        </is>
      </c>
      <c r="B6" s="9" t="inlineStr">
        <is>
          <t>JLCPCB</t>
        </is>
      </c>
      <c r="C6" s="9" t="inlineStr">
        <is>
          <t>DDP (invoerkosten inbegrepen), 2-4 werkdagen</t>
        </is>
      </c>
      <c r="D6" s="9" t="inlineStr">
        <is>
          <t>$30,86</t>
        </is>
      </c>
      <c r="E6" s="9" t="inlineStr">
        <is>
          <t>Geschat door JLC op basis van gewicht.</t>
        </is>
      </c>
    </row>
    <row r="7">
      <c r="A7" s="9" t="inlineStr">
        <is>
          <t>RP2350B</t>
        </is>
      </c>
      <c r="B7" s="9" t="inlineStr">
        <is>
          <t>JLCPCB C42415655</t>
        </is>
      </c>
      <c r="C7" s="9" t="inlineStr">
        <is>
          <t>Op voorraad: 3.875</t>
        </is>
      </c>
      <c r="D7" s="9" t="inlineStr">
        <is>
          <t>$1,28</t>
        </is>
      </c>
      <c r="E7" s="9" t="inlineStr">
        <is>
          <t>LCSC zelf: niet leverbaar; via JLC-montage wel.</t>
        </is>
      </c>
    </row>
    <row r="8">
      <c r="A8" s="9" t="inlineStr">
        <is>
          <t>VS1053B-L</t>
        </is>
      </c>
      <c r="B8" s="9" t="inlineStr">
        <is>
          <t>JLCPCB C9922</t>
        </is>
      </c>
      <c r="C8" s="9" t="inlineStr">
        <is>
          <t>Pre-order, ca. 11 dagen</t>
        </is>
      </c>
      <c r="D8" s="9" t="inlineStr">
        <is>
          <t>$16,51</t>
        </is>
      </c>
      <c r="E8" s="9" t="inlineStr">
        <is>
          <t>Duurste onderdeel. LCSC: 0 op voorraad.</t>
        </is>
      </c>
    </row>
    <row r="9">
      <c r="A9" s="9" t="inlineStr">
        <is>
          <t>TLV320DAC3100IRHBR</t>
        </is>
      </c>
      <c r="B9" s="9" t="inlineStr">
        <is>
          <t>JLCPCB C179677</t>
        </is>
      </c>
      <c r="C9" s="9" t="inlineStr">
        <is>
          <t>Op voorraad: 2.171</t>
        </is>
      </c>
      <c r="D9" s="9" t="inlineStr">
        <is>
          <t>$1,87</t>
        </is>
      </c>
      <c r="E9" s="9" t="inlineStr"/>
    </row>
    <row r="10">
      <c r="A10" s="9" t="inlineStr">
        <is>
          <t>TPS61090RSAR</t>
        </is>
      </c>
      <c r="B10" s="9" t="inlineStr">
        <is>
          <t>JLCPCB C206167</t>
        </is>
      </c>
      <c r="C10" s="9" t="inlineStr">
        <is>
          <t>Op voorraad: 2.436</t>
        </is>
      </c>
      <c r="D10" s="9" t="inlineStr">
        <is>
          <t>$2,20</t>
        </is>
      </c>
      <c r="E10" s="9" t="inlineStr"/>
    </row>
    <row r="11">
      <c r="A11" s="9" t="inlineStr">
        <is>
          <t>PCA9685PW,118</t>
        </is>
      </c>
      <c r="B11" s="9" t="inlineStr">
        <is>
          <t>JLCPCB C2678753</t>
        </is>
      </c>
      <c r="C11" s="9" t="inlineStr">
        <is>
          <t>Op voorraad: 430</t>
        </is>
      </c>
      <c r="D11" s="9" t="inlineStr">
        <is>
          <t>$2,87</t>
        </is>
      </c>
      <c r="E11" s="9" t="inlineStr">
        <is>
          <t>Alternatief C92206 ($3,64, 1.209 st.).</t>
        </is>
      </c>
    </row>
    <row r="12">
      <c r="A12" s="9" t="inlineStr">
        <is>
          <t>SN74HC165PWR</t>
        </is>
      </c>
      <c r="B12" s="9" t="inlineStr">
        <is>
          <t>LCSC C43420</t>
        </is>
      </c>
      <c r="C12" s="9" t="inlineStr">
        <is>
          <t>Op voorraad: 31.435</t>
        </is>
      </c>
      <c r="D12" s="9" t="inlineStr">
        <is>
          <t>$0,23</t>
        </is>
      </c>
      <c r="E12" s="9" t="inlineStr"/>
    </row>
    <row r="13">
      <c r="A13" s="9" t="inlineStr">
        <is>
          <t>APX803S-31SA-7</t>
        </is>
      </c>
      <c r="B13" s="9" t="inlineStr">
        <is>
          <t>LCSC C129757</t>
        </is>
      </c>
      <c r="C13" s="9" t="inlineStr">
        <is>
          <t>Op voorraad: 2.968</t>
        </is>
      </c>
      <c r="D13" s="9" t="inlineStr">
        <is>
          <t>$0,39</t>
        </is>
      </c>
      <c r="E13" s="9" t="inlineStr"/>
    </row>
    <row r="14">
      <c r="A14" s="9" t="inlineStr">
        <is>
          <t>AOTA-B201610S3R3-101-T (L9)</t>
        </is>
      </c>
      <c r="B14" s="9" t="inlineStr">
        <is>
          <t>LCSC C42411119</t>
        </is>
      </c>
      <c r="C14" s="9" t="inlineStr">
        <is>
          <t>Op voorraad: 3.675</t>
        </is>
      </c>
      <c r="D14" s="9" t="inlineStr">
        <is>
          <t>$0,29</t>
        </is>
      </c>
      <c r="E14" s="9" t="inlineStr"/>
    </row>
    <row r="15">
      <c r="A15" s="9" t="inlineStr">
        <is>
          <t>PKMCS0909E4000-R1 (zoemer)</t>
        </is>
      </c>
      <c r="B15" s="9" t="inlineStr">
        <is>
          <t>JLCPCB C910763</t>
        </is>
      </c>
      <c r="C15" s="9" t="inlineStr">
        <is>
          <t>Op voorraad: 1.483</t>
        </is>
      </c>
      <c r="D15" s="9" t="inlineStr">
        <is>
          <t>$1,10</t>
        </is>
      </c>
      <c r="E15" s="9" t="inlineStr"/>
    </row>
    <row r="16">
      <c r="A16" s="9" t="inlineStr">
        <is>
          <t>BAT60JFILM (D22)</t>
        </is>
      </c>
      <c r="B16" s="9" t="inlineStr">
        <is>
          <t>JLCPCB C5377811</t>
        </is>
      </c>
      <c r="C16" s="9" t="inlineStr">
        <is>
          <t>Op voorraad: 4</t>
        </is>
      </c>
      <c r="D16" s="9" t="inlineStr">
        <is>
          <t>$0,06</t>
        </is>
      </c>
      <c r="E16" s="9" t="inlineStr">
        <is>
          <t>Weinig voorraad. Gelijkwaardig: BAT60B C3018529 (47.342 st.).</t>
        </is>
      </c>
    </row>
    <row r="17">
      <c r="A17" s="9" t="inlineStr">
        <is>
          <t>CLMVC RGB-LED (D17)</t>
        </is>
      </c>
      <c r="B17" s="9" t="inlineStr">
        <is>
          <t>JLCPCB C5187905</t>
        </is>
      </c>
      <c r="C17" s="9" t="inlineStr">
        <is>
          <t>Pre-order, min. 56 st., ca. 25 dagen</t>
        </is>
      </c>
      <c r="D17" s="9" t="inlineStr">
        <is>
          <t>$8,69</t>
        </is>
      </c>
      <c r="E17" s="9" t="inlineStr">
        <is>
          <t>Overweeg een vervanger met dezelfde footprint (2x2 mm, common anode).</t>
        </is>
      </c>
    </row>
    <row r="18">
      <c r="A18" s="9" t="inlineStr">
        <is>
          <t>AMELA3012S-2R2MT (L4, L5)</t>
        </is>
      </c>
      <c r="B18" s="9" t="inlineStr">
        <is>
          <t>Digikey 535-AMELA3012S-2R2MTCT-ND</t>
        </is>
      </c>
      <c r="C18" s="9" t="inlineStr">
        <is>
          <t>Op voorraad: 827</t>
        </is>
      </c>
      <c r="D18" s="9" t="inlineStr">
        <is>
          <t>EUR 0,84 /st.</t>
        </is>
      </c>
      <c r="E18" s="9" t="inlineStr">
        <is>
          <t>Niet bij LCSC/JLC.</t>
        </is>
      </c>
    </row>
    <row r="19">
      <c r="A19" s="9" t="inlineStr">
        <is>
          <t>AMPLH7020S-6R8MT (L1)</t>
        </is>
      </c>
      <c r="B19" s="9" t="inlineStr">
        <is>
          <t>Digikey</t>
        </is>
      </c>
      <c r="C19" s="9" t="inlineStr">
        <is>
          <t>Op voorraad: 2.001</t>
        </is>
      </c>
      <c r="D19" s="9" t="inlineStr">
        <is>
          <t>EUR 0,73</t>
        </is>
      </c>
      <c r="E19" s="9" t="inlineStr">
        <is>
          <t>Niet bij LCSC/JLC.</t>
        </is>
      </c>
    </row>
    <row r="20">
      <c r="A20" s="9" t="inlineStr">
        <is>
          <t>RK10J11R0A0L (volumewiel)</t>
        </is>
      </c>
      <c r="B20" s="9" t="inlineStr">
        <is>
          <t>Digikey</t>
        </is>
      </c>
      <c r="C20" s="9" t="inlineStr">
        <is>
          <t>Op voorraad: 2.984</t>
        </is>
      </c>
      <c r="D20" s="9" t="inlineStr">
        <is>
          <t>EUR 2,44</t>
        </is>
      </c>
      <c r="E20" s="9" t="inlineStr"/>
    </row>
    <row r="21">
      <c r="A21" s="9" t="inlineStr">
        <is>
          <t>Scherm 1,54" ST7789 240x240 (kaal paneel)</t>
        </is>
      </c>
      <c r="B21" s="9" t="inlineStr">
        <is>
          <t>AliExpress</t>
        </is>
      </c>
      <c r="C21" s="9" t="inlineStr">
        <is>
          <t>-</t>
        </is>
      </c>
      <c r="D21" s="9" t="inlineStr">
        <is>
          <t>ca. EUR 3,20</t>
        </is>
      </c>
      <c r="E21" s="9" t="inlineStr">
        <is>
          <t>Controleer of het de 12-pins soldeer-FPC is.</t>
        </is>
      </c>
    </row>
    <row r="22">
      <c r="A22" s="9" t="inlineStr">
        <is>
          <t>Game Boy Pocket-shell incl. knoppen</t>
        </is>
      </c>
      <c r="B22" s="9" t="inlineStr">
        <is>
          <t>AliExpress</t>
        </is>
      </c>
      <c r="C22" s="9" t="inlineStr">
        <is>
          <t>-</t>
        </is>
      </c>
      <c r="D22" s="9" t="inlineStr">
        <is>
          <t>EUR 11 - 14</t>
        </is>
      </c>
      <c r="E22" s="9" t="inlineStr"/>
    </row>
    <row r="23">
      <c r="A23" s="9" t="inlineStr"/>
      <c r="B23" s="9" t="inlineStr"/>
      <c r="C23" s="9" t="inlineStr"/>
      <c r="D23" s="9" t="inlineStr"/>
      <c r="E23" s="9" t="inlineStr"/>
    </row>
    <row r="24">
      <c r="A24" s="9" t="inlineStr">
        <is>
          <t>Niet gecheckt: montagekosten</t>
        </is>
      </c>
      <c r="B24" s="9" t="inlineStr">
        <is>
          <t>JLCPCB</t>
        </is>
      </c>
      <c r="C24" s="9" t="inlineStr"/>
      <c r="D24" s="9" t="inlineStr"/>
      <c r="E24" s="9" t="inlineStr">
        <is>
          <t>Daarvoor moeten de gerbers en de BOM op jlcpcb.com geupload worden; dat kan de ingebouwde browser niet. Schatting voor 2 st. aan beide kanten incl. onderdelen: $150 - 220.</t>
        </is>
      </c>
    </row>
  </sheetData>
  <autoFilter ref="A4:E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26" customWidth="1" min="4" max="4"/>
    <col width="8" customWidth="1" min="5" max="5"/>
    <col width="10" customWidth="1" min="6" max="6"/>
    <col width="10" customWidth="1" min="7" max="7"/>
    <col width="30" customWidth="1" min="8" max="8"/>
    <col width="11" customWidth="1" min="9" max="9"/>
    <col width="17" customWidth="1" min="10" max="10"/>
    <col width="10" customWidth="1" min="11" max="11"/>
    <col width="70" customWidth="1" min="12" max="12"/>
  </cols>
  <sheetData>
    <row r="1">
      <c r="A1" s="1" t="inlineStr">
        <is>
          <t>Hoofdprint (stereoBoy_MGB) - onderdelenlijst per bord</t>
        </is>
      </c>
    </row>
    <row r="2">
      <c r="A2" s="2" t="inlineStr">
        <is>
          <t>Uit het printbestand gehaald. Geel = let op. Grijs = optioneel. Aantal borden in E3 aanpassen; kolom F rekent mee.</t>
        </is>
      </c>
    </row>
    <row r="3">
      <c r="D3" s="10" t="inlineStr">
        <is>
          <t>Aantal borden:</t>
        </is>
      </c>
      <c r="E3" s="11" t="n">
        <v>1</v>
      </c>
    </row>
    <row r="5">
      <c r="A5" s="8" t="inlineStr">
        <is>
          <t>Groep</t>
        </is>
      </c>
      <c r="B5" s="8" t="inlineStr">
        <is>
          <t>Designators</t>
        </is>
      </c>
      <c r="C5" s="8" t="inlineStr">
        <is>
          <t>Waarde</t>
        </is>
      </c>
      <c r="D5" s="8" t="inlineStr">
        <is>
          <t>Footprint</t>
        </is>
      </c>
      <c r="E5" s="8" t="inlineStr">
        <is>
          <t>Per bord</t>
        </is>
      </c>
      <c r="F5" s="8" t="inlineStr">
        <is>
          <t>Te bestellen</t>
        </is>
      </c>
      <c r="G5" s="8" t="inlineStr">
        <is>
          <t>Kant</t>
        </is>
      </c>
      <c r="H5" s="8" t="inlineStr">
        <is>
          <t>Onderdeel (MPN-advies)</t>
        </is>
      </c>
      <c r="I5" s="8" t="inlineStr">
        <is>
          <t>LCSC #</t>
        </is>
      </c>
      <c r="J5" s="8" t="inlineStr">
        <is>
          <t>Montage</t>
        </is>
      </c>
      <c r="K5" s="8" t="inlineStr">
        <is>
          <t>Nodig?</t>
        </is>
      </c>
      <c r="L5" s="8" t="inlineStr">
        <is>
          <t>Opmerking</t>
        </is>
      </c>
    </row>
    <row r="6">
      <c r="A6" s="12" t="inlineStr">
        <is>
          <t>IC's</t>
        </is>
      </c>
      <c r="B6" s="12" t="inlineStr">
        <is>
          <t>U1</t>
        </is>
      </c>
      <c r="C6" s="12" t="inlineStr">
        <is>
          <t>CODECODER-VS1053B_LQFP48_</t>
        </is>
      </c>
      <c r="D6" s="12" t="inlineStr">
        <is>
          <t>VS1053b</t>
        </is>
      </c>
      <c r="E6" s="12" t="n">
        <v>1</v>
      </c>
      <c r="F6" s="12">
        <f>E6*$E$3</f>
        <v/>
      </c>
      <c r="G6" s="12" t="inlineStr">
        <is>
          <t>Boven</t>
        </is>
      </c>
      <c r="H6" s="12" t="inlineStr">
        <is>
          <t>VS1053B-L</t>
        </is>
      </c>
      <c r="I6" s="12" t="inlineStr">
        <is>
          <t>C9922</t>
        </is>
      </c>
      <c r="J6" s="12" t="inlineStr">
        <is>
          <t>SMT (JLCPCB)</t>
        </is>
      </c>
      <c r="K6" s="12" t="inlineStr">
        <is>
          <t>Nodig</t>
        </is>
      </c>
      <c r="L6" s="12" t="inlineStr">
        <is>
          <t>MP3-decoder. Bij JLC pre-order: ca. $16,50, levertijd ca. 11 dagen. Firmware is geschreven voor VS1053B. De ontwerper bestelde zelf VS1063A-L (C486306); dat is NIET getest met deze firmware. Neem VS1053B-L.</t>
        </is>
      </c>
    </row>
    <row r="7">
      <c r="A7" s="9" t="inlineStr">
        <is>
          <t>IC's</t>
        </is>
      </c>
      <c r="B7" s="9" t="inlineStr">
        <is>
          <t>U2</t>
        </is>
      </c>
      <c r="C7" s="9" t="inlineStr">
        <is>
          <t>PCA9685PW</t>
        </is>
      </c>
      <c r="D7" s="9" t="inlineStr">
        <is>
          <t>TSSOP-28_4.4x9.7mm_P0.65mm</t>
        </is>
      </c>
      <c r="E7" s="9" t="n">
        <v>1</v>
      </c>
      <c r="F7" s="9">
        <f>E7*$E$3</f>
        <v/>
      </c>
      <c r="G7" s="9" t="inlineStr">
        <is>
          <t>Onder</t>
        </is>
      </c>
      <c r="H7" s="9" t="inlineStr">
        <is>
          <t>PCA9685PW,118</t>
        </is>
      </c>
      <c r="I7" s="9" t="inlineStr">
        <is>
          <t>C2678753</t>
        </is>
      </c>
      <c r="J7" s="9" t="inlineStr">
        <is>
          <t>SMT (JLCPCB)</t>
        </is>
      </c>
      <c r="K7" s="9" t="inlineStr">
        <is>
          <t>Nodig</t>
        </is>
      </c>
      <c r="L7" s="9" t="inlineStr">
        <is>
          <t>LED-driver voor de 16 VU-LEDs.</t>
        </is>
      </c>
    </row>
    <row r="8">
      <c r="A8" s="12" t="inlineStr">
        <is>
          <t>IC's</t>
        </is>
      </c>
      <c r="B8" s="12" t="inlineStr">
        <is>
          <t>U3</t>
        </is>
      </c>
      <c r="C8" s="12" t="inlineStr">
        <is>
          <t>TPS61090</t>
        </is>
      </c>
      <c r="D8" s="12" t="inlineStr">
        <is>
          <t>Texas_RSA_VQFN-16-1EP_4x4mm_P0.65mm_EP2.7x2.7mm_ThermalVias</t>
        </is>
      </c>
      <c r="E8" s="12" t="n">
        <v>1</v>
      </c>
      <c r="F8" s="12">
        <f>E8*$E$3</f>
        <v/>
      </c>
      <c r="G8" s="12" t="inlineStr">
        <is>
          <t>Onder</t>
        </is>
      </c>
      <c r="H8" s="12" t="inlineStr">
        <is>
          <t>TPS61090RSAR</t>
        </is>
      </c>
      <c r="I8" s="12" t="inlineStr">
        <is>
          <t>C206167</t>
        </is>
      </c>
      <c r="J8" s="12" t="inlineStr">
        <is>
          <t>SMT (JLCPCB)</t>
        </is>
      </c>
      <c r="K8" s="12" t="inlineStr">
        <is>
          <t>Nodig</t>
        </is>
      </c>
      <c r="L8" s="12" t="inlineStr">
        <is>
          <t>LET OP: 5V-boost met spanningsdeler (R4/R13) = de verstelbare TPS61090. De ontwerper kocht TPS61092 (vaste 5V) - die NIET nemen.</t>
        </is>
      </c>
    </row>
    <row r="9">
      <c r="A9" s="9" t="inlineStr">
        <is>
          <t>IC's</t>
        </is>
      </c>
      <c r="B9" s="9" t="inlineStr">
        <is>
          <t>U4, U8</t>
        </is>
      </c>
      <c r="C9" s="9" t="inlineStr">
        <is>
          <t>TLV62569DBV</t>
        </is>
      </c>
      <c r="D9" s="9" t="inlineStr">
        <is>
          <t>SOT-23-5</t>
        </is>
      </c>
      <c r="E9" s="9" t="n">
        <v>2</v>
      </c>
      <c r="F9" s="9">
        <f>E9*$E$3</f>
        <v/>
      </c>
      <c r="G9" s="9" t="inlineStr">
        <is>
          <t>Onder</t>
        </is>
      </c>
      <c r="H9" s="9" t="inlineStr">
        <is>
          <t>TLV62569DBVR</t>
        </is>
      </c>
      <c r="I9" s="9" t="inlineStr">
        <is>
          <t>C141836</t>
        </is>
      </c>
      <c r="J9" s="9" t="inlineStr">
        <is>
          <t>SMT (JLCPCB)</t>
        </is>
      </c>
      <c r="K9" s="9" t="inlineStr">
        <is>
          <t>Nodig</t>
        </is>
      </c>
      <c r="L9" s="9" t="inlineStr">
        <is>
          <t>Buck 3,3V en 1,8V.</t>
        </is>
      </c>
    </row>
    <row r="10">
      <c r="A10" s="9" t="inlineStr">
        <is>
          <t>IC's</t>
        </is>
      </c>
      <c r="B10" s="9" t="inlineStr">
        <is>
          <t>U5</t>
        </is>
      </c>
      <c r="C10" s="9" t="inlineStr">
        <is>
          <t>APX803</t>
        </is>
      </c>
      <c r="D10" s="9" t="inlineStr">
        <is>
          <t>SOT-23</t>
        </is>
      </c>
      <c r="E10" s="9" t="n">
        <v>1</v>
      </c>
      <c r="F10" s="9">
        <f>E10*$E$3</f>
        <v/>
      </c>
      <c r="G10" s="9" t="inlineStr">
        <is>
          <t>Boven</t>
        </is>
      </c>
      <c r="H10" s="9" t="inlineStr">
        <is>
          <t>APX803S-31SA-7</t>
        </is>
      </c>
      <c r="I10" s="9" t="inlineStr">
        <is>
          <t>C129757</t>
        </is>
      </c>
      <c r="J10" s="9" t="inlineStr">
        <is>
          <t>SMT (JLCPCB)</t>
        </is>
      </c>
      <c r="K10" s="9" t="inlineStr">
        <is>
          <t>Nodig</t>
        </is>
      </c>
      <c r="L10" s="9" t="inlineStr">
        <is>
          <t>Reset voor het scherm op 3,3V. Niet de APX803L-35 uit de LCSC-lijst van de ontwerper (drempel 3,5V &gt; 3,3V).</t>
        </is>
      </c>
    </row>
    <row r="11">
      <c r="A11" s="12" t="inlineStr">
        <is>
          <t>IC's</t>
        </is>
      </c>
      <c r="B11" s="12" t="inlineStr">
        <is>
          <t>U6</t>
        </is>
      </c>
      <c r="C11" s="12" t="inlineStr">
        <is>
          <t>74HC165</t>
        </is>
      </c>
      <c r="D11" s="12" t="inlineStr">
        <is>
          <t>TSSOP-16_4.4x5mm_P0.65mm</t>
        </is>
      </c>
      <c r="E11" s="12" t="n">
        <v>1</v>
      </c>
      <c r="F11" s="12">
        <f>E11*$E$3</f>
        <v/>
      </c>
      <c r="G11" s="12" t="inlineStr">
        <is>
          <t>Onder</t>
        </is>
      </c>
      <c r="H11" s="12" t="inlineStr">
        <is>
          <t>SN74HC165PWR</t>
        </is>
      </c>
      <c r="I11" s="12" t="inlineStr">
        <is>
          <t>C43420</t>
        </is>
      </c>
      <c r="J11" s="12" t="inlineStr">
        <is>
          <t>SMT (JLCPCB)</t>
        </is>
      </c>
      <c r="K11" s="12" t="inlineStr">
        <is>
          <t>Nodig</t>
        </is>
      </c>
      <c r="L11" s="12" t="inlineStr">
        <is>
          <t>LET OP: footprint is TSSOP-16 (PW). De ontwerper bestelde SN74HC165DBR (SSOP, breder) - past niet.</t>
        </is>
      </c>
    </row>
    <row r="12">
      <c r="A12" s="9" t="inlineStr">
        <is>
          <t>IC's</t>
        </is>
      </c>
      <c r="B12" s="9" t="inlineStr">
        <is>
          <t>U7</t>
        </is>
      </c>
      <c r="C12" s="9" t="inlineStr">
        <is>
          <t>TPS2116DRL</t>
        </is>
      </c>
      <c r="D12" s="9" t="inlineStr">
        <is>
          <t>SOT-583-8</t>
        </is>
      </c>
      <c r="E12" s="9" t="n">
        <v>1</v>
      </c>
      <c r="F12" s="9">
        <f>E12*$E$3</f>
        <v/>
      </c>
      <c r="G12" s="9" t="inlineStr">
        <is>
          <t>Onder</t>
        </is>
      </c>
      <c r="H12" s="9" t="inlineStr">
        <is>
          <t>TPS2116DRLR</t>
        </is>
      </c>
      <c r="I12" s="9" t="inlineStr">
        <is>
          <t>C3235557</t>
        </is>
      </c>
      <c r="J12" s="9" t="inlineStr">
        <is>
          <t>SMT (JLCPCB)</t>
        </is>
      </c>
      <c r="K12" s="9" t="inlineStr">
        <is>
          <t>Nodig</t>
        </is>
      </c>
      <c r="L12" s="9" t="inlineStr">
        <is>
          <t>Power-mux USB/batterij (zit op de PSU-module).</t>
        </is>
      </c>
    </row>
    <row r="13">
      <c r="A13" s="9" t="inlineStr">
        <is>
          <t>IC's</t>
        </is>
      </c>
      <c r="B13" s="9" t="inlineStr">
        <is>
          <t>U10</t>
        </is>
      </c>
      <c r="C13" s="9" t="inlineStr">
        <is>
          <t>TLV320AIC3100</t>
        </is>
      </c>
      <c r="D13" s="9" t="inlineStr">
        <is>
          <t>VQFN-32-1EP_5x5mm_P0.5mm_EP3.5x3.5mm</t>
        </is>
      </c>
      <c r="E13" s="9" t="n">
        <v>1</v>
      </c>
      <c r="F13" s="9">
        <f>E13*$E$3</f>
        <v/>
      </c>
      <c r="G13" s="9" t="inlineStr">
        <is>
          <t>Boven</t>
        </is>
      </c>
      <c r="H13" s="9" t="inlineStr">
        <is>
          <t>TLV320DAC3100IRHBR</t>
        </is>
      </c>
      <c r="I13" s="9" t="inlineStr">
        <is>
          <t>C179677</t>
        </is>
      </c>
      <c r="J13" s="9" t="inlineStr">
        <is>
          <t>SMT (JLCPCB)</t>
        </is>
      </c>
      <c r="K13" s="9" t="inlineStr">
        <is>
          <t>Nodig</t>
        </is>
      </c>
      <c r="L13" s="9" t="inlineStr">
        <is>
          <t>Op de print staat 'TLV320AIC3100', maar de ontwerper gebruikt de DAC3100 (zelfde behuizing).</t>
        </is>
      </c>
    </row>
    <row r="14">
      <c r="A14" s="9" t="inlineStr">
        <is>
          <t>IC's</t>
        </is>
      </c>
      <c r="B14" s="9" t="inlineStr">
        <is>
          <t>U11</t>
        </is>
      </c>
      <c r="C14" s="9" t="inlineStr">
        <is>
          <t>RP2350B</t>
        </is>
      </c>
      <c r="D14" s="9" t="inlineStr">
        <is>
          <t>QFN-80-1EP_10x10mm_P0.4mm_EP3.4x3.4mm</t>
        </is>
      </c>
      <c r="E14" s="9" t="n">
        <v>1</v>
      </c>
      <c r="F14" s="9">
        <f>E14*$E$3</f>
        <v/>
      </c>
      <c r="G14" s="9" t="inlineStr">
        <is>
          <t>Boven</t>
        </is>
      </c>
      <c r="H14" s="9" t="inlineStr">
        <is>
          <t>RP2350B</t>
        </is>
      </c>
      <c r="I14" s="9" t="inlineStr">
        <is>
          <t>C42415655</t>
        </is>
      </c>
      <c r="J14" s="9" t="inlineStr">
        <is>
          <t>SMT (JLCPCB)</t>
        </is>
      </c>
      <c r="K14" s="9" t="inlineStr">
        <is>
          <t>Nodig</t>
        </is>
      </c>
      <c r="L14" s="9" t="inlineStr">
        <is>
          <t>Microcontroller (QFN-80, 0.4 mm pitch). Niet met de hand te doen zonder hete lucht.</t>
        </is>
      </c>
    </row>
    <row r="15">
      <c r="A15" s="9" t="inlineStr">
        <is>
          <t>IC's</t>
        </is>
      </c>
      <c r="B15" s="9" t="inlineStr">
        <is>
          <t>U12</t>
        </is>
      </c>
      <c r="C15" s="9" t="inlineStr">
        <is>
          <t>USBLC6-2P6</t>
        </is>
      </c>
      <c r="D15" s="9" t="inlineStr">
        <is>
          <t>SOT-666</t>
        </is>
      </c>
      <c r="E15" s="9" t="n">
        <v>1</v>
      </c>
      <c r="F15" s="9">
        <f>E15*$E$3</f>
        <v/>
      </c>
      <c r="G15" s="9" t="inlineStr">
        <is>
          <t>Boven</t>
        </is>
      </c>
      <c r="H15" s="9" t="inlineStr">
        <is>
          <t>USBLC6-2P6</t>
        </is>
      </c>
      <c r="I15" s="9" t="inlineStr">
        <is>
          <t>C15999</t>
        </is>
      </c>
      <c r="J15" s="9" t="inlineStr">
        <is>
          <t>SMT (JLCPCB)</t>
        </is>
      </c>
      <c r="K15" s="9" t="inlineStr">
        <is>
          <t>Nodig</t>
        </is>
      </c>
      <c r="L15" s="9" t="inlineStr">
        <is>
          <t>ESD-bescherming USB.</t>
        </is>
      </c>
    </row>
    <row r="16">
      <c r="A16" s="9" t="inlineStr">
        <is>
          <t>IC's</t>
        </is>
      </c>
      <c r="B16" s="9" t="inlineStr">
        <is>
          <t>U14</t>
        </is>
      </c>
      <c r="C16" s="9" t="inlineStr">
        <is>
          <t>FM24C64C</t>
        </is>
      </c>
      <c r="D16" s="9" t="inlineStr">
        <is>
          <t>SOIC-8_3.9x4.9mm_P1.27mm</t>
        </is>
      </c>
      <c r="E16" s="9" t="n">
        <v>1</v>
      </c>
      <c r="F16" s="9">
        <f>E16*$E$3</f>
        <v/>
      </c>
      <c r="G16" s="9" t="inlineStr">
        <is>
          <t>Onder</t>
        </is>
      </c>
      <c r="H16" s="9" t="inlineStr">
        <is>
          <t>FM24CL64B-GTR</t>
        </is>
      </c>
      <c r="I16" s="9" t="inlineStr">
        <is>
          <t>C9829</t>
        </is>
      </c>
      <c r="J16" s="9" t="inlineStr">
        <is>
          <t>SMT (JLCPCB)</t>
        </is>
      </c>
      <c r="K16" s="9" t="inlineStr">
        <is>
          <t>Nodig</t>
        </is>
      </c>
      <c r="L16" s="9" t="inlineStr">
        <is>
          <t>FRAM op 3,3V. Niet FM24C64B (dat is een 5V-type).</t>
        </is>
      </c>
    </row>
    <row r="17">
      <c r="A17" s="9" t="inlineStr">
        <is>
          <t>Transistors/diodes/LEDs</t>
        </is>
      </c>
      <c r="B17" s="9" t="inlineStr">
        <is>
          <t>D1, D2, D3, D4, D5, D6, D7, D8, D9, D10, D11, D12, D13, D14, D15, D16</t>
        </is>
      </c>
      <c r="C17" s="9" t="inlineStr">
        <is>
          <t>LED</t>
        </is>
      </c>
      <c r="D17" s="9" t="inlineStr">
        <is>
          <t>LED_D3.0mm</t>
        </is>
      </c>
      <c r="E17" s="9" t="n">
        <v>16</v>
      </c>
      <c r="F17" s="9">
        <f>E17*$E$3</f>
        <v/>
      </c>
      <c r="G17" s="9" t="inlineStr">
        <is>
          <t>Onder</t>
        </is>
      </c>
      <c r="H17" s="9" t="inlineStr">
        <is>
          <t>3 mm LED (THT)</t>
        </is>
      </c>
      <c r="I17" s="9" t="inlineStr"/>
      <c r="J17" s="9" t="inlineStr">
        <is>
          <t>Zelf solderen (THT)</t>
        </is>
      </c>
      <c r="K17" s="9" t="inlineStr">
        <is>
          <t>Nodig</t>
        </is>
      </c>
      <c r="L17" s="9" t="inlineStr">
        <is>
          <t>16 VU-LEDs, zelf solderen. Kleur naar keuze (3D-modellen van de ontwerper: groen/geel).</t>
        </is>
      </c>
    </row>
    <row r="18">
      <c r="A18" s="9" t="inlineStr">
        <is>
          <t>Transistors/diodes/LEDs</t>
        </is>
      </c>
      <c r="B18" s="9" t="inlineStr">
        <is>
          <t>D17</t>
        </is>
      </c>
      <c r="C18" s="9" t="inlineStr">
        <is>
          <t>CLMVC-FKA-CL1D1L71BB7C3C3</t>
        </is>
      </c>
      <c r="D18" s="9" t="inlineStr">
        <is>
          <t>CREE_LED_2mm_x_2mm_Common_Anode</t>
        </is>
      </c>
      <c r="E18" s="9" t="n">
        <v>1</v>
      </c>
      <c r="F18" s="9">
        <f>E18*$E$3</f>
        <v/>
      </c>
      <c r="G18" s="9" t="inlineStr">
        <is>
          <t>Onder</t>
        </is>
      </c>
      <c r="H18" s="9" t="inlineStr">
        <is>
          <t>CLMVC-FKA-CL1D1L71BB7C3C3</t>
        </is>
      </c>
      <c r="I18" s="9" t="inlineStr">
        <is>
          <t>C5187905</t>
        </is>
      </c>
      <c r="J18" s="9" t="inlineStr">
        <is>
          <t>SMT (JLCPCB)</t>
        </is>
      </c>
      <c r="K18" s="9" t="inlineStr">
        <is>
          <t>Nodig</t>
        </is>
      </c>
      <c r="L18" s="9" t="inlineStr">
        <is>
          <t>RGB-LED 2x2 mm (Cree), common anode. Bij JLC alleen pre-order (min. 56 st., ca. 25 dagen).</t>
        </is>
      </c>
    </row>
    <row r="19">
      <c r="A19" s="9" t="inlineStr">
        <is>
          <t>Transistors/diodes/LEDs</t>
        </is>
      </c>
      <c r="B19" s="9" t="inlineStr">
        <is>
          <t>D22</t>
        </is>
      </c>
      <c r="C19" s="9" t="inlineStr">
        <is>
          <t>BAT60JFILM</t>
        </is>
      </c>
      <c r="D19" s="9" t="inlineStr">
        <is>
          <t>SOD-323</t>
        </is>
      </c>
      <c r="E19" s="9" t="n">
        <v>1</v>
      </c>
      <c r="F19" s="9">
        <f>E19*$E$3</f>
        <v/>
      </c>
      <c r="G19" s="9" t="inlineStr">
        <is>
          <t>Boven</t>
        </is>
      </c>
      <c r="H19" s="9" t="inlineStr">
        <is>
          <t>BAT60JFILM</t>
        </is>
      </c>
      <c r="I19" s="9" t="inlineStr">
        <is>
          <t>C5377811</t>
        </is>
      </c>
      <c r="J19" s="9" t="inlineStr">
        <is>
          <t>SMT (JLCPCB)</t>
        </is>
      </c>
      <c r="K19" s="9" t="inlineStr">
        <is>
          <t>Nodig</t>
        </is>
      </c>
      <c r="L19" s="9" t="inlineStr">
        <is>
          <t>Schottky-diode SOD-323.</t>
        </is>
      </c>
    </row>
    <row r="20">
      <c r="A20" s="9" t="inlineStr">
        <is>
          <t>Transistors/diodes/LEDs</t>
        </is>
      </c>
      <c r="B20" s="9" t="inlineStr">
        <is>
          <t>D23</t>
        </is>
      </c>
      <c r="C20" s="9" t="inlineStr">
        <is>
          <t>Green</t>
        </is>
      </c>
      <c r="D20" s="9" t="inlineStr">
        <is>
          <t>LED_1206_3216Metric_Green</t>
        </is>
      </c>
      <c r="E20" s="9" t="n">
        <v>1</v>
      </c>
      <c r="F20" s="9">
        <f>E20*$E$3</f>
        <v/>
      </c>
      <c r="G20" s="9" t="inlineStr">
        <is>
          <t>Onder</t>
        </is>
      </c>
      <c r="H20" s="9" t="inlineStr">
        <is>
          <t>Groene LED 1206</t>
        </is>
      </c>
      <c r="I20" s="9" t="inlineStr">
        <is>
          <t>C7280951</t>
        </is>
      </c>
      <c r="J20" s="9" t="inlineStr">
        <is>
          <t>SMT (JLCPCB)</t>
        </is>
      </c>
      <c r="K20" s="9" t="inlineStr">
        <is>
          <t>Nodig</t>
        </is>
      </c>
      <c r="L20" s="9" t="inlineStr"/>
    </row>
    <row r="21">
      <c r="A21" s="9" t="inlineStr">
        <is>
          <t>Transistors/diodes/LEDs</t>
        </is>
      </c>
      <c r="B21" s="9" t="inlineStr">
        <is>
          <t>Q1</t>
        </is>
      </c>
      <c r="C21" s="9" t="inlineStr">
        <is>
          <t>DMG2301L</t>
        </is>
      </c>
      <c r="D21" s="9" t="inlineStr">
        <is>
          <t>SOT-23</t>
        </is>
      </c>
      <c r="E21" s="9" t="n">
        <v>1</v>
      </c>
      <c r="F21" s="9">
        <f>E21*$E$3</f>
        <v/>
      </c>
      <c r="G21" s="9" t="inlineStr">
        <is>
          <t>Boven</t>
        </is>
      </c>
      <c r="H21" s="9" t="inlineStr">
        <is>
          <t>DMG2301L-7</t>
        </is>
      </c>
      <c r="I21" s="9" t="inlineStr">
        <is>
          <t>C102619</t>
        </is>
      </c>
      <c r="J21" s="9" t="inlineStr">
        <is>
          <t>SMT (JLCPCB)</t>
        </is>
      </c>
      <c r="K21" s="9" t="inlineStr">
        <is>
          <t>Nodig</t>
        </is>
      </c>
      <c r="L21" s="9" t="inlineStr"/>
    </row>
    <row r="22">
      <c r="A22" s="9" t="inlineStr">
        <is>
          <t>Transistors/diodes/LEDs</t>
        </is>
      </c>
      <c r="B22" s="9" t="inlineStr">
        <is>
          <t>Q2</t>
        </is>
      </c>
      <c r="C22" s="9" t="inlineStr">
        <is>
          <t>FDN306P</t>
        </is>
      </c>
      <c r="D22" s="9" t="inlineStr">
        <is>
          <t>SOT-23</t>
        </is>
      </c>
      <c r="E22" s="9" t="n">
        <v>1</v>
      </c>
      <c r="F22" s="9">
        <f>E22*$E$3</f>
        <v/>
      </c>
      <c r="G22" s="9" t="inlineStr">
        <is>
          <t>Boven</t>
        </is>
      </c>
      <c r="H22" s="9" t="inlineStr">
        <is>
          <t>FDN306P</t>
        </is>
      </c>
      <c r="I22" s="9" t="inlineStr">
        <is>
          <t>C154510</t>
        </is>
      </c>
      <c r="J22" s="9" t="inlineStr">
        <is>
          <t>SMT (JLCPCB)</t>
        </is>
      </c>
      <c r="K22" s="9" t="inlineStr">
        <is>
          <t>Nodig</t>
        </is>
      </c>
      <c r="L22" s="9" t="inlineStr"/>
    </row>
    <row r="23">
      <c r="A23" s="9" t="inlineStr">
        <is>
          <t>Transistors/diodes/LEDs</t>
        </is>
      </c>
      <c r="B23" s="9" t="inlineStr">
        <is>
          <t>Q3</t>
        </is>
      </c>
      <c r="C23" s="9" t="inlineStr">
        <is>
          <t>BSS138</t>
        </is>
      </c>
      <c r="D23" s="9" t="inlineStr">
        <is>
          <t>SOT-23</t>
        </is>
      </c>
      <c r="E23" s="9" t="n">
        <v>1</v>
      </c>
      <c r="F23" s="9">
        <f>E23*$E$3</f>
        <v/>
      </c>
      <c r="G23" s="9" t="inlineStr">
        <is>
          <t>Boven</t>
        </is>
      </c>
      <c r="H23" s="9" t="inlineStr">
        <is>
          <t>BSS138LT1G</t>
        </is>
      </c>
      <c r="I23" s="9" t="inlineStr">
        <is>
          <t>C82045</t>
        </is>
      </c>
      <c r="J23" s="9" t="inlineStr">
        <is>
          <t>SMT (JLCPCB)</t>
        </is>
      </c>
      <c r="K23" s="9" t="inlineStr">
        <is>
          <t>Nodig</t>
        </is>
      </c>
      <c r="L23" s="9" t="inlineStr"/>
    </row>
    <row r="24">
      <c r="A24" s="9" t="inlineStr">
        <is>
          <t>Spoelen/kristallen</t>
        </is>
      </c>
      <c r="B24" s="9" t="inlineStr">
        <is>
          <t>L1</t>
        </is>
      </c>
      <c r="C24" s="9" t="inlineStr">
        <is>
          <t>6.8uH</t>
        </is>
      </c>
      <c r="D24" s="9" t="inlineStr">
        <is>
          <t>Inductor_7.3x6.6mm</t>
        </is>
      </c>
      <c r="E24" s="9" t="n">
        <v>1</v>
      </c>
      <c r="F24" s="9">
        <f>E24*$E$3</f>
        <v/>
      </c>
      <c r="G24" s="9" t="inlineStr">
        <is>
          <t>Onder</t>
        </is>
      </c>
      <c r="H24" s="9" t="inlineStr">
        <is>
          <t>Abracon AMPLH7020S-6R8MT</t>
        </is>
      </c>
      <c r="I24" s="9" t="inlineStr"/>
      <c r="J24" s="9" t="inlineStr">
        <is>
          <t>Zelf solderen (THT)</t>
        </is>
      </c>
      <c r="K24" s="9" t="inlineStr">
        <is>
          <t>Nodig</t>
        </is>
      </c>
      <c r="L24" s="9" t="inlineStr">
        <is>
          <t>6,8 uH boost-spoel, 7x7 mm. Digikey 535-AMPLH7020S-6R8MTCT-ND.</t>
        </is>
      </c>
    </row>
    <row r="25">
      <c r="A25" s="9" t="inlineStr">
        <is>
          <t>Spoelen/kristallen</t>
        </is>
      </c>
      <c r="B25" s="9" t="inlineStr">
        <is>
          <t>L2, L6, L8</t>
        </is>
      </c>
      <c r="C25" s="9" t="inlineStr">
        <is>
          <t>600Ω @ 100MHz</t>
        </is>
      </c>
      <c r="D25" s="9" t="inlineStr">
        <is>
          <t>C_0603_1608Metric</t>
        </is>
      </c>
      <c r="E25" s="9" t="n">
        <v>3</v>
      </c>
      <c r="F25" s="9">
        <f>E25*$E$3</f>
        <v/>
      </c>
      <c r="G25" s="9" t="inlineStr">
        <is>
          <t>Boven/Onder</t>
        </is>
      </c>
      <c r="H25" s="9" t="inlineStr">
        <is>
          <t>TDK MPZ1608S601ATA00</t>
        </is>
      </c>
      <c r="I25" s="9" t="inlineStr">
        <is>
          <t>C107335</t>
        </is>
      </c>
      <c r="J25" s="9" t="inlineStr">
        <is>
          <t>SMT (JLCPCB)</t>
        </is>
      </c>
      <c r="K25" s="9" t="inlineStr">
        <is>
          <t>Nodig</t>
        </is>
      </c>
      <c r="L25" s="9" t="inlineStr">
        <is>
          <t>Ferriet 600 ohm 0603.</t>
        </is>
      </c>
    </row>
    <row r="26">
      <c r="A26" s="9" t="inlineStr">
        <is>
          <t>Spoelen/kristallen</t>
        </is>
      </c>
      <c r="B26" s="9" t="inlineStr">
        <is>
          <t>L3, L7</t>
        </is>
      </c>
      <c r="C26" s="9" t="inlineStr">
        <is>
          <t>600Ω @ 100MHz</t>
        </is>
      </c>
      <c r="D26" s="9" t="inlineStr">
        <is>
          <t>L_0603_1608Metric</t>
        </is>
      </c>
      <c r="E26" s="9" t="n">
        <v>2</v>
      </c>
      <c r="F26" s="9">
        <f>E26*$E$3</f>
        <v/>
      </c>
      <c r="G26" s="9" t="inlineStr">
        <is>
          <t>Boven/Onder</t>
        </is>
      </c>
      <c r="H26" s="9" t="inlineStr">
        <is>
          <t>TDK MPZ1608S601ATA00</t>
        </is>
      </c>
      <c r="I26" s="9" t="inlineStr">
        <is>
          <t>C107335</t>
        </is>
      </c>
      <c r="J26" s="9" t="inlineStr">
        <is>
          <t>SMT (JLCPCB)</t>
        </is>
      </c>
      <c r="K26" s="9" t="inlineStr">
        <is>
          <t>Nodig</t>
        </is>
      </c>
      <c r="L26" s="9" t="inlineStr">
        <is>
          <t>Ferriet 600 ohm 0603.</t>
        </is>
      </c>
    </row>
    <row r="27">
      <c r="A27" s="12" t="inlineStr">
        <is>
          <t>Spoelen/kristallen</t>
        </is>
      </c>
      <c r="B27" s="12" t="inlineStr">
        <is>
          <t>L4, L5</t>
        </is>
      </c>
      <c r="C27" s="12" t="inlineStr">
        <is>
          <t>2.2uH</t>
        </is>
      </c>
      <c r="D27" s="12" t="inlineStr">
        <is>
          <t>L_APV_ANR3012</t>
        </is>
      </c>
      <c r="E27" s="12" t="n">
        <v>2</v>
      </c>
      <c r="F27" s="12">
        <f>E27*$E$3</f>
        <v/>
      </c>
      <c r="G27" s="12" t="inlineStr">
        <is>
          <t>Onder</t>
        </is>
      </c>
      <c r="H27" s="12" t="inlineStr">
        <is>
          <t>Abracon AMELA3012S-2R2MT</t>
        </is>
      </c>
      <c r="I27" s="12" t="inlineStr"/>
      <c r="J27" s="12" t="inlineStr">
        <is>
          <t>SMT (JLCPCB)</t>
        </is>
      </c>
      <c r="K27" s="12" t="inlineStr">
        <is>
          <t>Nodig</t>
        </is>
      </c>
      <c r="L27" s="12" t="inlineStr">
        <is>
          <t>Footprint is 3x3 mm; het MPN-veld (XAL4020, 4x4 mm) klopt niet. Digikey 535-AMELA3012S-2R2MTCT-ND.</t>
        </is>
      </c>
    </row>
    <row r="28">
      <c r="A28" s="9" t="inlineStr">
        <is>
          <t>Spoelen/kristallen</t>
        </is>
      </c>
      <c r="B28" s="9" t="inlineStr">
        <is>
          <t>L9</t>
        </is>
      </c>
      <c r="C28" s="9" t="inlineStr">
        <is>
          <t>3.3uH</t>
        </is>
      </c>
      <c r="D28" s="9" t="inlineStr">
        <is>
          <t>L_Cenker_CKCS201610</t>
        </is>
      </c>
      <c r="E28" s="9" t="n">
        <v>1</v>
      </c>
      <c r="F28" s="9">
        <f>E28*$E$3</f>
        <v/>
      </c>
      <c r="G28" s="9" t="inlineStr">
        <is>
          <t>Boven</t>
        </is>
      </c>
      <c r="H28" s="9" t="inlineStr">
        <is>
          <t>AOTA-B201610S3R3-101-T</t>
        </is>
      </c>
      <c r="I28" s="9" t="inlineStr">
        <is>
          <t>C42411119</t>
        </is>
      </c>
      <c r="J28" s="9" t="inlineStr">
        <is>
          <t>SMT (JLCPCB)</t>
        </is>
      </c>
      <c r="K28" s="9" t="inlineStr">
        <is>
          <t>Nodig</t>
        </is>
      </c>
      <c r="L28" s="9" t="inlineStr">
        <is>
          <t>3,3 uH voor de core-regelaar van de RP2350 (standaard Raspberry Pi-keuze).</t>
        </is>
      </c>
    </row>
    <row r="29">
      <c r="A29" s="9" t="inlineStr">
        <is>
          <t>Spoelen/kristallen</t>
        </is>
      </c>
      <c r="B29" s="9" t="inlineStr">
        <is>
          <t>L10</t>
        </is>
      </c>
      <c r="C29" s="9" t="inlineStr">
        <is>
          <t>600Ω @ 100MHz</t>
        </is>
      </c>
      <c r="D29" s="9" t="inlineStr">
        <is>
          <t>L_0805_2012Metric</t>
        </is>
      </c>
      <c r="E29" s="9" t="n">
        <v>1</v>
      </c>
      <c r="F29" s="9">
        <f>E29*$E$3</f>
        <v/>
      </c>
      <c r="G29" s="9" t="inlineStr">
        <is>
          <t>Onder</t>
        </is>
      </c>
      <c r="H29" s="9" t="inlineStr">
        <is>
          <t>Ferriet 600 ohm @100 MHz 0805, &gt;=1 A</t>
        </is>
      </c>
      <c r="I29" s="9" t="inlineStr"/>
      <c r="J29" s="9" t="inlineStr">
        <is>
          <t>SMT (JLCPCB)</t>
        </is>
      </c>
      <c r="K29" s="9" t="inlineStr">
        <is>
          <t>Nodig</t>
        </is>
      </c>
      <c r="L29" s="9" t="inlineStr"/>
    </row>
    <row r="30">
      <c r="A30" s="9" t="inlineStr">
        <is>
          <t>Spoelen/kristallen</t>
        </is>
      </c>
      <c r="B30" s="9" t="inlineStr">
        <is>
          <t>Y1, Y2</t>
        </is>
      </c>
      <c r="C30" s="9" t="inlineStr">
        <is>
          <t>12MHz</t>
        </is>
      </c>
      <c r="D30" s="9" t="inlineStr">
        <is>
          <t>Crystal_SMD_3225-4Pin_3.2x2.5mm</t>
        </is>
      </c>
      <c r="E30" s="9" t="n">
        <v>2</v>
      </c>
      <c r="F30" s="9">
        <f>E30*$E$3</f>
        <v/>
      </c>
      <c r="G30" s="9" t="inlineStr">
        <is>
          <t>Boven</t>
        </is>
      </c>
      <c r="H30" s="9" t="inlineStr">
        <is>
          <t>ABM8-272-T3 (12 MHz)</t>
        </is>
      </c>
      <c r="I30" s="9" t="inlineStr">
        <is>
          <t>C20625731</t>
        </is>
      </c>
      <c r="J30" s="9" t="inlineStr">
        <is>
          <t>SMT (JLCPCB)</t>
        </is>
      </c>
      <c r="K30" s="9" t="inlineStr">
        <is>
          <t>Nodig</t>
        </is>
      </c>
      <c r="L30" s="9" t="inlineStr"/>
    </row>
    <row r="31">
      <c r="A31" s="13" t="inlineStr">
        <is>
          <t>Connectors/knoppen</t>
        </is>
      </c>
      <c r="B31" s="13" t="inlineStr">
        <is>
          <t>BTN_A1, BTN_B1</t>
        </is>
      </c>
      <c r="C31" s="13" t="inlineStr">
        <is>
          <t>GameBoy_ButtonPad</t>
        </is>
      </c>
      <c r="D31" s="13" t="inlineStr">
        <is>
          <t>GameBoy_A_B_Pad</t>
        </is>
      </c>
      <c r="E31" s="13" t="n">
        <v>2</v>
      </c>
      <c r="F31" s="13">
        <f>E31*$E$3</f>
        <v/>
      </c>
      <c r="G31" s="13" t="inlineStr">
        <is>
          <t>Onder</t>
        </is>
      </c>
      <c r="H31" s="13" t="inlineStr">
        <is>
          <t>Geen onderdeel: GB-membraan</t>
        </is>
      </c>
      <c r="I31" s="13" t="inlineStr"/>
      <c r="J31" s="13" t="inlineStr">
        <is>
          <t>SMT (JLCPCB)</t>
        </is>
      </c>
      <c r="K31" s="13" t="inlineStr">
        <is>
          <t>Optioneel</t>
        </is>
      </c>
      <c r="L31" s="13" t="inlineStr">
        <is>
          <t>De footprint heeft het originele Game Boy-contactpatroon. Een siliconen membraan uit een (donor-)GBP werkt dus. De 4 buitenste pads zijn een optie voor een tactiele schakelaar.</t>
        </is>
      </c>
    </row>
    <row r="32">
      <c r="A32" s="13" t="inlineStr">
        <is>
          <t>Connectors/knoppen</t>
        </is>
      </c>
      <c r="B32" s="13" t="inlineStr">
        <is>
          <t>BTN_D1, BTN_L1, BTN_R1, BTN_U1</t>
        </is>
      </c>
      <c r="C32" s="13" t="inlineStr">
        <is>
          <t>GameBoy_ButtonPad</t>
        </is>
      </c>
      <c r="D32" s="13" t="inlineStr">
        <is>
          <t>GameBoy_DPad</t>
        </is>
      </c>
      <c r="E32" s="13" t="n">
        <v>4</v>
      </c>
      <c r="F32" s="13">
        <f>E32*$E$3</f>
        <v/>
      </c>
      <c r="G32" s="13" t="inlineStr">
        <is>
          <t>Onder</t>
        </is>
      </c>
      <c r="H32" s="13" t="inlineStr">
        <is>
          <t>Geen onderdeel: GB-membraan</t>
        </is>
      </c>
      <c r="I32" s="13" t="inlineStr"/>
      <c r="J32" s="13" t="inlineStr">
        <is>
          <t>SMT (JLCPCB)</t>
        </is>
      </c>
      <c r="K32" s="13" t="inlineStr">
        <is>
          <t>Optioneel</t>
        </is>
      </c>
      <c r="L32" s="13" t="inlineStr">
        <is>
          <t>D-pad met het originele GB-contactpatroon. Werkt met het D-pad-membraan.</t>
        </is>
      </c>
    </row>
    <row r="33">
      <c r="A33" s="9" t="inlineStr">
        <is>
          <t>Connectors/knoppen</t>
        </is>
      </c>
      <c r="B33" s="9" t="inlineStr">
        <is>
          <t>BZ1</t>
        </is>
      </c>
      <c r="C33" s="9" t="inlineStr">
        <is>
          <t>Buzzer</t>
        </is>
      </c>
      <c r="D33" s="9" t="inlineStr">
        <is>
          <t>Buzzer_CUI_CPT-9019S-SMT</t>
        </is>
      </c>
      <c r="E33" s="9" t="n">
        <v>1</v>
      </c>
      <c r="F33" s="9">
        <f>E33*$E$3</f>
        <v/>
      </c>
      <c r="G33" s="9" t="inlineStr">
        <is>
          <t>Boven</t>
        </is>
      </c>
      <c r="H33" s="9" t="inlineStr">
        <is>
          <t>PKMCS0909E4000-R1</t>
        </is>
      </c>
      <c r="I33" s="9" t="inlineStr">
        <is>
          <t>C910763</t>
        </is>
      </c>
      <c r="J33" s="9" t="inlineStr">
        <is>
          <t>SMT (JLCPCB)</t>
        </is>
      </c>
      <c r="K33" s="9" t="inlineStr">
        <is>
          <t>Nodig</t>
        </is>
      </c>
      <c r="L33" s="9" t="inlineStr">
        <is>
          <t>Footprint heet 'CUI CPT-9019S', 3D-model is Murata. Beide 9x9 mm: leg de pads naast de datasheet.</t>
        </is>
      </c>
    </row>
    <row r="34">
      <c r="A34" s="13" t="inlineStr">
        <is>
          <t>Connectors/knoppen</t>
        </is>
      </c>
      <c r="B34" s="13" t="inlineStr">
        <is>
          <t>J2</t>
        </is>
      </c>
      <c r="C34" s="13" t="inlineStr">
        <is>
          <t>JST_1mm_3_Vertical</t>
        </is>
      </c>
      <c r="D34" s="13" t="inlineStr">
        <is>
          <t>JST_1x03_P1.0mm_Horizontal_SMD</t>
        </is>
      </c>
      <c r="E34" s="13" t="n">
        <v>1</v>
      </c>
      <c r="F34" s="13">
        <f>E34*$E$3</f>
        <v/>
      </c>
      <c r="G34" s="13" t="inlineStr">
        <is>
          <t>Onder</t>
        </is>
      </c>
      <c r="H34" s="13" t="inlineStr">
        <is>
          <t>JST SM03B-SRSS-TB</t>
        </is>
      </c>
      <c r="I34" s="13" t="inlineStr">
        <is>
          <t>C160403</t>
        </is>
      </c>
      <c r="J34" s="13" t="inlineStr">
        <is>
          <t>SMT (JLCPCB)</t>
        </is>
      </c>
      <c r="K34" s="13" t="inlineStr">
        <is>
          <t>Optioneel</t>
        </is>
      </c>
      <c r="L34" s="13" t="inlineStr">
        <is>
          <t>Optioneel: SWD-debugpoort.</t>
        </is>
      </c>
    </row>
    <row r="35">
      <c r="A35" s="13" t="inlineStr">
        <is>
          <t>Connectors/knoppen</t>
        </is>
      </c>
      <c r="B35" s="13" t="inlineStr">
        <is>
          <t>J4, J8</t>
        </is>
      </c>
      <c r="C35" s="13" t="inlineStr">
        <is>
          <t>Conn_01x02</t>
        </is>
      </c>
      <c r="D35" s="13" t="inlineStr">
        <is>
          <t>1x02_P2.54mm</t>
        </is>
      </c>
      <c r="E35" s="13" t="n">
        <v>2</v>
      </c>
      <c r="F35" s="13">
        <f>E35*$E$3</f>
        <v/>
      </c>
      <c r="G35" s="13" t="inlineStr">
        <is>
          <t>Boven</t>
        </is>
      </c>
      <c r="H35" s="13" t="inlineStr">
        <is>
          <t>Pinheader 1x02 2,54 mm</t>
        </is>
      </c>
      <c r="I35" s="13" t="inlineStr"/>
      <c r="J35" s="13" t="inlineStr">
        <is>
          <t>Zelf solderen (THT)</t>
        </is>
      </c>
      <c r="K35" s="13" t="inlineStr">
        <is>
          <t>Optioneel</t>
        </is>
      </c>
      <c r="L35" s="13" t="inlineStr">
        <is>
          <t>Optioneel (reset/boot-jumper).</t>
        </is>
      </c>
    </row>
    <row r="36">
      <c r="A36" s="9" t="inlineStr">
        <is>
          <t>Connectors/knoppen</t>
        </is>
      </c>
      <c r="B36" s="9" t="inlineStr">
        <is>
          <t>J5</t>
        </is>
      </c>
      <c r="C36" s="9" t="inlineStr">
        <is>
          <t>SJ-43514</t>
        </is>
      </c>
      <c r="D36" s="9" t="inlineStr">
        <is>
          <t>SJ_43514</t>
        </is>
      </c>
      <c r="E36" s="9" t="n">
        <v>1</v>
      </c>
      <c r="F36" s="9">
        <f>E36*$E$3</f>
        <v/>
      </c>
      <c r="G36" s="9" t="inlineStr">
        <is>
          <t>Onder</t>
        </is>
      </c>
      <c r="H36" s="9" t="inlineStr">
        <is>
          <t>CUI SJ-43514</t>
        </is>
      </c>
      <c r="I36" s="9" t="inlineStr">
        <is>
          <t>C20182909</t>
        </is>
      </c>
      <c r="J36" s="9" t="inlineStr">
        <is>
          <t>Zelf solderen (THT)</t>
        </is>
      </c>
      <c r="K36" s="9" t="inlineStr">
        <is>
          <t>Nodig</t>
        </is>
      </c>
      <c r="L36" s="9" t="inlineStr">
        <is>
          <t>3,5 mm koptelefoonaansluiting, THT.</t>
        </is>
      </c>
    </row>
    <row r="37">
      <c r="A37" s="13" t="inlineStr">
        <is>
          <t>Connectors/knoppen</t>
        </is>
      </c>
      <c r="B37" s="13" t="inlineStr">
        <is>
          <t>J6</t>
        </is>
      </c>
      <c r="C37" s="13" t="inlineStr">
        <is>
          <t>Conn_01x09</t>
        </is>
      </c>
      <c r="D37" s="13" t="inlineStr">
        <is>
          <t>1x09_P2.54mm</t>
        </is>
      </c>
      <c r="E37" s="13" t="n">
        <v>1</v>
      </c>
      <c r="F37" s="13">
        <f>E37*$E$3</f>
        <v/>
      </c>
      <c r="G37" s="13" t="inlineStr">
        <is>
          <t>Boven</t>
        </is>
      </c>
      <c r="H37" s="13" t="inlineStr">
        <is>
          <t>Pinheader 1x09 2,54 mm</t>
        </is>
      </c>
      <c r="I37" s="13" t="inlineStr"/>
      <c r="J37" s="13" t="inlineStr">
        <is>
          <t>Zelf solderen (THT)</t>
        </is>
      </c>
      <c r="K37" s="13" t="inlineStr">
        <is>
          <t>Optioneel</t>
        </is>
      </c>
      <c r="L37" s="13" t="inlineStr">
        <is>
          <t>NIET nodig als je het kale FPC-scherm op J1 gebruikt (alternatief voor een schermmodule).</t>
        </is>
      </c>
    </row>
    <row r="38">
      <c r="A38" s="9" t="inlineStr">
        <is>
          <t>Connectors/knoppen</t>
        </is>
      </c>
      <c r="B38" s="9" t="inlineStr">
        <is>
          <t>J7</t>
        </is>
      </c>
      <c r="C38" s="9" t="inlineStr">
        <is>
          <t>USB_C_Receptacle_USB2.0_16P</t>
        </is>
      </c>
      <c r="D38" s="9" t="inlineStr">
        <is>
          <t>USB_C_Receptacle_GCT_USB4105-xx-A_16P_TopMnt_Horizontal</t>
        </is>
      </c>
      <c r="E38" s="9" t="n">
        <v>1</v>
      </c>
      <c r="F38" s="9">
        <f>E38*$E$3</f>
        <v/>
      </c>
      <c r="G38" s="9" t="inlineStr">
        <is>
          <t>Boven</t>
        </is>
      </c>
      <c r="H38" s="9" t="inlineStr">
        <is>
          <t>GCT USB4105-GF-A-120</t>
        </is>
      </c>
      <c r="I38" s="9" t="inlineStr">
        <is>
          <t>C5184243</t>
        </is>
      </c>
      <c r="J38" s="9" t="inlineStr">
        <is>
          <t>SMT (JLCPCB)</t>
        </is>
      </c>
      <c r="K38" s="9" t="inlineStr">
        <is>
          <t>Nodig</t>
        </is>
      </c>
      <c r="L38" s="9" t="inlineStr">
        <is>
          <t>USB-C.</t>
        </is>
      </c>
    </row>
    <row r="39">
      <c r="A39" s="9" t="inlineStr">
        <is>
          <t>Connectors/knoppen</t>
        </is>
      </c>
      <c r="B39" s="9" t="inlineStr">
        <is>
          <t>J10, J11</t>
        </is>
      </c>
      <c r="C39" s="9" t="inlineStr">
        <is>
          <t>Conn_01x05</t>
        </is>
      </c>
      <c r="D39" s="9" t="inlineStr">
        <is>
          <t>1x05_P2.54mm</t>
        </is>
      </c>
      <c r="E39" s="9" t="n">
        <v>2</v>
      </c>
      <c r="F39" s="9">
        <f>E39*$E$3</f>
        <v/>
      </c>
      <c r="G39" s="9" t="inlineStr">
        <is>
          <t>Boven</t>
        </is>
      </c>
      <c r="H39" s="9" t="inlineStr">
        <is>
          <t>Pinheader 1x05 2,54 mm</t>
        </is>
      </c>
      <c r="I39" s="9" t="inlineStr"/>
      <c r="J39" s="9" t="inlineStr">
        <is>
          <t>Zelf solderen (THT)</t>
        </is>
      </c>
      <c r="K39" s="9" t="inlineStr">
        <is>
          <t>Nodig</t>
        </is>
      </c>
      <c r="L39" s="9" t="inlineStr">
        <is>
          <t>Verbinding PSU-module &lt;-&gt; hoofdprint. Controleer hoe de module erop gaat.</t>
        </is>
      </c>
    </row>
    <row r="40">
      <c r="A40" s="9" t="inlineStr">
        <is>
          <t>Connectors/knoppen</t>
        </is>
      </c>
      <c r="B40" s="9" t="inlineStr">
        <is>
          <t>J13</t>
        </is>
      </c>
      <c r="C40" s="9" t="inlineStr">
        <is>
          <t>Conn_01x10</t>
        </is>
      </c>
      <c r="D40" s="9" t="inlineStr">
        <is>
          <t>StereoBoy_PSU</t>
        </is>
      </c>
      <c r="E40" s="9" t="n">
        <v>1</v>
      </c>
      <c r="F40" s="9">
        <f>E40*$E$3</f>
        <v/>
      </c>
      <c r="G40" s="9" t="inlineStr">
        <is>
          <t>Onder</t>
        </is>
      </c>
      <c r="H40" s="9" t="inlineStr">
        <is>
          <t>(pads, geen onderdeel)</t>
        </is>
      </c>
      <c r="I40" s="9" t="inlineStr"/>
      <c r="J40" s="9" t="inlineStr">
        <is>
          <t>SMT (JLCPCB)</t>
        </is>
      </c>
      <c r="K40" s="9" t="inlineStr">
        <is>
          <t>Nodig</t>
        </is>
      </c>
      <c r="L40" s="9" t="inlineStr">
        <is>
          <t>Landingsplek van de PSU-module.</t>
        </is>
      </c>
    </row>
    <row r="41">
      <c r="A41" s="13" t="inlineStr">
        <is>
          <t>Connectors/knoppen</t>
        </is>
      </c>
      <c r="B41" s="13" t="inlineStr">
        <is>
          <t>SELECT1, START1</t>
        </is>
      </c>
      <c r="C41" s="13" t="inlineStr">
        <is>
          <t>SMD_6x3.5mm_h2.5mm</t>
        </is>
      </c>
      <c r="D41" s="13" t="inlineStr">
        <is>
          <t>GameBoy_Select_Start</t>
        </is>
      </c>
      <c r="E41" s="13" t="n">
        <v>2</v>
      </c>
      <c r="F41" s="13">
        <f>E41*$E$3</f>
        <v/>
      </c>
      <c r="G41" s="13" t="inlineStr">
        <is>
          <t>Onder</t>
        </is>
      </c>
      <c r="H41" s="13" t="inlineStr">
        <is>
          <t>Geen onderdeel: GB-membraan</t>
        </is>
      </c>
      <c r="I41" s="13" t="inlineStr"/>
      <c r="J41" s="13" t="inlineStr">
        <is>
          <t>SMT (JLCPCB)</t>
        </is>
      </c>
      <c r="K41" s="13" t="inlineStr">
        <is>
          <t>Optioneel</t>
        </is>
      </c>
      <c r="L41" s="13" t="inlineStr">
        <is>
          <t>Select/Start-contactpads voor het originele membraan.</t>
        </is>
      </c>
    </row>
    <row r="42">
      <c r="A42" s="9" t="inlineStr">
        <is>
          <t>Connectors/knoppen</t>
        </is>
      </c>
      <c r="B42" s="9" t="inlineStr">
        <is>
          <t>SW1, SW2</t>
        </is>
      </c>
      <c r="C42" s="9" t="inlineStr">
        <is>
          <t>SMD_4.6x2.8mm_h2.5mm</t>
        </is>
      </c>
      <c r="D42" s="9" t="inlineStr">
        <is>
          <t>Push_SMD_4.6x2.8mm_h2.5mm</t>
        </is>
      </c>
      <c r="E42" s="9" t="n">
        <v>2</v>
      </c>
      <c r="F42" s="9">
        <f>E42*$E$3</f>
        <v/>
      </c>
      <c r="G42" s="9" t="inlineStr">
        <is>
          <t>Onder</t>
        </is>
      </c>
      <c r="H42" s="9" t="inlineStr">
        <is>
          <t>C&amp;K KMR221GLFS</t>
        </is>
      </c>
      <c r="I42" s="9" t="inlineStr">
        <is>
          <t>C72443</t>
        </is>
      </c>
      <c r="J42" s="9" t="inlineStr">
        <is>
          <t>SMT (JLCPCB)</t>
        </is>
      </c>
      <c r="K42" s="9" t="inlineStr">
        <is>
          <t>Nodig</t>
        </is>
      </c>
      <c r="L42" s="9" t="inlineStr">
        <is>
          <t>SW1 = reset, SW2 = BOOTSEL. Past op de SparkFun-footprint 4,6 x 2,8 mm (3D-model h=1,9 mm). Door JLC te plaatsen.</t>
        </is>
      </c>
    </row>
    <row r="43">
      <c r="A43" s="9" t="inlineStr">
        <is>
          <t>Connectors/knoppen</t>
        </is>
      </c>
      <c r="B43" s="9" t="inlineStr">
        <is>
          <t>VR1</t>
        </is>
      </c>
      <c r="C43" s="9" t="inlineStr">
        <is>
          <t>RK10J11R0A0L</t>
        </is>
      </c>
      <c r="D43" s="9" t="inlineStr">
        <is>
          <t>RK10J11R0A0L</t>
        </is>
      </c>
      <c r="E43" s="9" t="n">
        <v>1</v>
      </c>
      <c r="F43" s="9">
        <f>E43*$E$3</f>
        <v/>
      </c>
      <c r="G43" s="9" t="inlineStr">
        <is>
          <t>Boven</t>
        </is>
      </c>
      <c r="H43" s="9" t="inlineStr">
        <is>
          <t>Alps RK10J11R0A0L</t>
        </is>
      </c>
      <c r="I43" s="9" t="inlineStr"/>
      <c r="J43" s="9" t="inlineStr">
        <is>
          <t>Zelf solderen (THT)</t>
        </is>
      </c>
      <c r="K43" s="9" t="inlineStr">
        <is>
          <t>Nodig</t>
        </is>
      </c>
      <c r="L43" s="9" t="inlineStr">
        <is>
          <t>Duimwiel-volumeknop. Mouser 688-RK10J11R0A0L. LCSC had alleen de ...A0H (C470766).</t>
        </is>
      </c>
    </row>
    <row r="44">
      <c r="A44" s="12" t="inlineStr">
        <is>
          <t>Condensatoren</t>
        </is>
      </c>
      <c r="B44" s="12" t="inlineStr">
        <is>
          <t>C1</t>
        </is>
      </c>
      <c r="C44" s="12" t="inlineStr">
        <is>
          <t>100uF</t>
        </is>
      </c>
      <c r="D44" s="12" t="inlineStr">
        <is>
          <t>CP_EIA-7343-15_Kemet-W_HandSolder</t>
        </is>
      </c>
      <c r="E44" s="12" t="n">
        <v>1</v>
      </c>
      <c r="F44" s="12">
        <f>E44*$E$3</f>
        <v/>
      </c>
      <c r="G44" s="12" t="inlineStr">
        <is>
          <t>Boven</t>
        </is>
      </c>
      <c r="H44" s="12" t="inlineStr">
        <is>
          <t>Tantaal 100 uF &gt;=10 V, EIA 7343-15 (W-case)</t>
        </is>
      </c>
      <c r="I44" s="12" t="inlineStr"/>
      <c r="J44" s="12" t="inlineStr">
        <is>
          <t>SMT (JLCPCB)</t>
        </is>
      </c>
      <c r="K44" s="12" t="inlineStr">
        <is>
          <t>Nodig</t>
        </is>
      </c>
      <c r="L44" s="12" t="inlineStr">
        <is>
          <t>Lage behuizing (1,5 mm) nodig. De ontwerper kocht TAJD337 (D-case, 3,1 mm hoog) - past niet op deze footprint.</t>
        </is>
      </c>
    </row>
    <row r="45">
      <c r="A45" s="9" t="inlineStr">
        <is>
          <t>Condensatoren</t>
        </is>
      </c>
      <c r="B45" s="9" t="inlineStr">
        <is>
          <t>C2</t>
        </is>
      </c>
      <c r="C45" s="9" t="inlineStr">
        <is>
          <t>47uF</t>
        </is>
      </c>
      <c r="D45" s="9" t="inlineStr">
        <is>
          <t>CP_EIA-7343-15_Kemet-W_HandSolder</t>
        </is>
      </c>
      <c r="E45" s="9" t="n">
        <v>1</v>
      </c>
      <c r="F45" s="9">
        <f>E45*$E$3</f>
        <v/>
      </c>
      <c r="G45" s="9" t="inlineStr">
        <is>
          <t>Boven</t>
        </is>
      </c>
      <c r="H45" s="9" t="inlineStr">
        <is>
          <t>Tantaal 47 uF &gt;=10 V, EIA 7343-15 (W-case)</t>
        </is>
      </c>
      <c r="I45" s="9" t="inlineStr"/>
      <c r="J45" s="9" t="inlineStr">
        <is>
          <t>SMT (JLCPCB)</t>
        </is>
      </c>
      <c r="K45" s="9" t="inlineStr">
        <is>
          <t>Nodig</t>
        </is>
      </c>
      <c r="L45" s="9" t="inlineStr">
        <is>
          <t>Lage behuizing (1,5 mm).</t>
        </is>
      </c>
    </row>
    <row r="46">
      <c r="A46" s="9" t="inlineStr">
        <is>
          <t>Condensatoren</t>
        </is>
      </c>
      <c r="B46" s="9" t="inlineStr">
        <is>
          <t>C3, C4</t>
        </is>
      </c>
      <c r="C46" s="9" t="inlineStr">
        <is>
          <t>10pF</t>
        </is>
      </c>
      <c r="D46" s="9" t="inlineStr">
        <is>
          <t>C_0402_1005Metric</t>
        </is>
      </c>
      <c r="E46" s="9" t="n">
        <v>2</v>
      </c>
      <c r="F46" s="9">
        <f>E46*$E$3</f>
        <v/>
      </c>
      <c r="G46" s="9" t="inlineStr">
        <is>
          <t>Boven</t>
        </is>
      </c>
      <c r="H46" s="9" t="inlineStr">
        <is>
          <t>10 pF 0402 C0G</t>
        </is>
      </c>
      <c r="I46" s="9" t="inlineStr">
        <is>
          <t>C161520</t>
        </is>
      </c>
      <c r="J46" s="9" t="inlineStr">
        <is>
          <t>SMT (JLCPCB)</t>
        </is>
      </c>
      <c r="K46" s="9" t="inlineStr">
        <is>
          <t>Nodig</t>
        </is>
      </c>
      <c r="L46" s="9" t="inlineStr"/>
    </row>
    <row r="47">
      <c r="A47" s="9" t="inlineStr">
        <is>
          <t>Condensatoren</t>
        </is>
      </c>
      <c r="B47" s="9" t="inlineStr">
        <is>
          <t>C5, C6, C15, C16, C17, C18, C19, C22, C23, C25, C26, C37, C47, C49, C52, C57, C58, C60, C75, C79</t>
        </is>
      </c>
      <c r="C47" s="9" t="inlineStr">
        <is>
          <t>0.1uF</t>
        </is>
      </c>
      <c r="D47" s="9" t="inlineStr">
        <is>
          <t>C_0402_1005Metric</t>
        </is>
      </c>
      <c r="E47" s="9" t="n">
        <v>20</v>
      </c>
      <c r="F47" s="9">
        <f>E47*$E$3</f>
        <v/>
      </c>
      <c r="G47" s="9" t="inlineStr">
        <is>
          <t>Boven/Onder</t>
        </is>
      </c>
      <c r="H47" s="9" t="inlineStr">
        <is>
          <t>Condensator 0.1uF 0402</t>
        </is>
      </c>
      <c r="I47" s="9" t="inlineStr"/>
      <c r="J47" s="9" t="inlineStr">
        <is>
          <t>SMT (JLCPCB)</t>
        </is>
      </c>
      <c r="K47" s="9" t="inlineStr">
        <is>
          <t>Nodig</t>
        </is>
      </c>
      <c r="L47" s="9" t="inlineStr"/>
    </row>
    <row r="48">
      <c r="A48" s="9" t="inlineStr">
        <is>
          <t>Condensatoren</t>
        </is>
      </c>
      <c r="B48" s="9" t="inlineStr">
        <is>
          <t>C7, C54, C85</t>
        </is>
      </c>
      <c r="C48" s="9" t="inlineStr">
        <is>
          <t>0.1uF</t>
        </is>
      </c>
      <c r="D48" s="9" t="inlineStr">
        <is>
          <t>C_0603_1608Metric</t>
        </is>
      </c>
      <c r="E48" s="9" t="n">
        <v>3</v>
      </c>
      <c r="F48" s="9">
        <f>E48*$E$3</f>
        <v/>
      </c>
      <c r="G48" s="9" t="inlineStr">
        <is>
          <t>Boven/Onder</t>
        </is>
      </c>
      <c r="H48" s="9" t="inlineStr">
        <is>
          <t>Condensator 0.1uF 0603</t>
        </is>
      </c>
      <c r="I48" s="9" t="inlineStr"/>
      <c r="J48" s="9" t="inlineStr">
        <is>
          <t>SMT (JLCPCB)</t>
        </is>
      </c>
      <c r="K48" s="9" t="inlineStr">
        <is>
          <t>Nodig</t>
        </is>
      </c>
      <c r="L48" s="9" t="inlineStr"/>
    </row>
    <row r="49">
      <c r="A49" s="9" t="inlineStr">
        <is>
          <t>Condensatoren</t>
        </is>
      </c>
      <c r="B49" s="9" t="inlineStr">
        <is>
          <t>C8</t>
        </is>
      </c>
      <c r="C49" s="9" t="inlineStr">
        <is>
          <t>10uF</t>
        </is>
      </c>
      <c r="D49" s="9" t="inlineStr">
        <is>
          <t>C_1206_3216Metric</t>
        </is>
      </c>
      <c r="E49" s="9" t="n">
        <v>1</v>
      </c>
      <c r="F49" s="9">
        <f>E49*$E$3</f>
        <v/>
      </c>
      <c r="G49" s="9" t="inlineStr">
        <is>
          <t>Onder</t>
        </is>
      </c>
      <c r="H49" s="9" t="inlineStr">
        <is>
          <t>Condensator 10uF 1206</t>
        </is>
      </c>
      <c r="I49" s="9" t="inlineStr"/>
      <c r="J49" s="9" t="inlineStr">
        <is>
          <t>SMT (JLCPCB)</t>
        </is>
      </c>
      <c r="K49" s="9" t="inlineStr">
        <is>
          <t>Nodig</t>
        </is>
      </c>
      <c r="L49" s="9" t="inlineStr"/>
    </row>
    <row r="50">
      <c r="A50" s="9" t="inlineStr">
        <is>
          <t>Condensatoren</t>
        </is>
      </c>
      <c r="B50" s="9" t="inlineStr">
        <is>
          <t>C9, C11</t>
        </is>
      </c>
      <c r="C50" s="9" t="inlineStr">
        <is>
          <t>4.7uF</t>
        </is>
      </c>
      <c r="D50" s="9" t="inlineStr">
        <is>
          <t>C_0805_2012Metric</t>
        </is>
      </c>
      <c r="E50" s="9" t="n">
        <v>2</v>
      </c>
      <c r="F50" s="9">
        <f>E50*$E$3</f>
        <v/>
      </c>
      <c r="G50" s="9" t="inlineStr">
        <is>
          <t>Boven</t>
        </is>
      </c>
      <c r="H50" s="9" t="inlineStr">
        <is>
          <t>4,7 uF 0805</t>
        </is>
      </c>
      <c r="I50" s="9" t="inlineStr">
        <is>
          <t>C98192</t>
        </is>
      </c>
      <c r="J50" s="9" t="inlineStr">
        <is>
          <t>SMT (JLCPCB)</t>
        </is>
      </c>
      <c r="K50" s="9" t="inlineStr">
        <is>
          <t>Nodig</t>
        </is>
      </c>
      <c r="L50" s="9" t="inlineStr"/>
    </row>
    <row r="51">
      <c r="A51" s="9" t="inlineStr">
        <is>
          <t>Condensatoren</t>
        </is>
      </c>
      <c r="B51" s="9" t="inlineStr">
        <is>
          <t>C10, C12</t>
        </is>
      </c>
      <c r="C51" s="9" t="inlineStr">
        <is>
          <t>6.8pF</t>
        </is>
      </c>
      <c r="D51" s="9" t="inlineStr">
        <is>
          <t>C_0805_2012Metric</t>
        </is>
      </c>
      <c r="E51" s="9" t="n">
        <v>2</v>
      </c>
      <c r="F51" s="9">
        <f>E51*$E$3</f>
        <v/>
      </c>
      <c r="G51" s="9" t="inlineStr">
        <is>
          <t>Onder</t>
        </is>
      </c>
      <c r="H51" s="9" t="inlineStr">
        <is>
          <t>6,8 pF 0805 NP0</t>
        </is>
      </c>
      <c r="I51" s="9" t="inlineStr">
        <is>
          <t>C519995</t>
        </is>
      </c>
      <c r="J51" s="9" t="inlineStr">
        <is>
          <t>SMT (JLCPCB)</t>
        </is>
      </c>
      <c r="K51" s="9" t="inlineStr">
        <is>
          <t>Nodig</t>
        </is>
      </c>
      <c r="L51" s="9" t="inlineStr"/>
    </row>
    <row r="52">
      <c r="A52" s="9" t="inlineStr">
        <is>
          <t>Condensatoren</t>
        </is>
      </c>
      <c r="B52" s="9" t="inlineStr">
        <is>
          <t>C13, C24, C27, C31, C36, C38, C39, C40, C41, C71</t>
        </is>
      </c>
      <c r="C52" s="9" t="inlineStr">
        <is>
          <t>1.0uF</t>
        </is>
      </c>
      <c r="D52" s="9" t="inlineStr">
        <is>
          <t>C_0402_1005Metric</t>
        </is>
      </c>
      <c r="E52" s="9" t="n">
        <v>10</v>
      </c>
      <c r="F52" s="9">
        <f>E52*$E$3</f>
        <v/>
      </c>
      <c r="G52" s="9" t="inlineStr">
        <is>
          <t>Boven</t>
        </is>
      </c>
      <c r="H52" s="9" t="inlineStr">
        <is>
          <t>Condensator 1.0uF 0402</t>
        </is>
      </c>
      <c r="I52" s="9" t="inlineStr"/>
      <c r="J52" s="9" t="inlineStr">
        <is>
          <t>SMT (JLCPCB)</t>
        </is>
      </c>
      <c r="K52" s="9" t="inlineStr">
        <is>
          <t>Nodig</t>
        </is>
      </c>
      <c r="L52" s="9" t="inlineStr"/>
    </row>
    <row r="53">
      <c r="A53" s="9" t="inlineStr">
        <is>
          <t>Condensatoren</t>
        </is>
      </c>
      <c r="B53" s="9" t="inlineStr">
        <is>
          <t>C14</t>
        </is>
      </c>
      <c r="C53" s="9" t="inlineStr">
        <is>
          <t>4.7uF</t>
        </is>
      </c>
      <c r="D53" s="9" t="inlineStr">
        <is>
          <t>C_0402_1005Metric</t>
        </is>
      </c>
      <c r="E53" s="9" t="n">
        <v>1</v>
      </c>
      <c r="F53" s="9">
        <f>E53*$E$3</f>
        <v/>
      </c>
      <c r="G53" s="9" t="inlineStr">
        <is>
          <t>Boven</t>
        </is>
      </c>
      <c r="H53" s="9" t="inlineStr">
        <is>
          <t>Condensator 4.7uF 0402</t>
        </is>
      </c>
      <c r="I53" s="9" t="inlineStr"/>
      <c r="J53" s="9" t="inlineStr">
        <is>
          <t>SMT (JLCPCB)</t>
        </is>
      </c>
      <c r="K53" s="9" t="inlineStr">
        <is>
          <t>Nodig</t>
        </is>
      </c>
      <c r="L53" s="9" t="inlineStr"/>
    </row>
    <row r="54">
      <c r="A54" s="9" t="inlineStr">
        <is>
          <t>Condensatoren</t>
        </is>
      </c>
      <c r="B54" s="9" t="inlineStr">
        <is>
          <t>C20, C21</t>
        </is>
      </c>
      <c r="C54" s="9" t="inlineStr">
        <is>
          <t>15pF</t>
        </is>
      </c>
      <c r="D54" s="9" t="inlineStr">
        <is>
          <t>C_0402_1005Metric</t>
        </is>
      </c>
      <c r="E54" s="9" t="n">
        <v>2</v>
      </c>
      <c r="F54" s="9">
        <f>E54*$E$3</f>
        <v/>
      </c>
      <c r="G54" s="9" t="inlineStr">
        <is>
          <t>Boven</t>
        </is>
      </c>
      <c r="H54" s="9" t="inlineStr">
        <is>
          <t>15 pF 0402 C0G</t>
        </is>
      </c>
      <c r="I54" s="9" t="inlineStr">
        <is>
          <t>C440152</t>
        </is>
      </c>
      <c r="J54" s="9" t="inlineStr">
        <is>
          <t>SMT (JLCPCB)</t>
        </is>
      </c>
      <c r="K54" s="9" t="inlineStr">
        <is>
          <t>Nodig</t>
        </is>
      </c>
      <c r="L54" s="9" t="inlineStr"/>
    </row>
    <row r="55">
      <c r="A55" s="12" t="inlineStr">
        <is>
          <t>Condensatoren</t>
        </is>
      </c>
      <c r="B55" s="12" t="inlineStr">
        <is>
          <t>C28</t>
        </is>
      </c>
      <c r="C55" s="12" t="inlineStr">
        <is>
          <t>100uF</t>
        </is>
      </c>
      <c r="D55" s="12" t="inlineStr">
        <is>
          <t>C_0603_1608Metric</t>
        </is>
      </c>
      <c r="E55" s="12" t="n">
        <v>1</v>
      </c>
      <c r="F55" s="12">
        <f>E55*$E$3</f>
        <v/>
      </c>
      <c r="G55" s="12" t="inlineStr">
        <is>
          <t>Boven</t>
        </is>
      </c>
      <c r="H55" s="12" t="inlineStr">
        <is>
          <t>100 uF 0603</t>
        </is>
      </c>
      <c r="I55" s="12" t="inlineStr"/>
      <c r="J55" s="12" t="inlineStr">
        <is>
          <t>SMT (JLCPCB)</t>
        </is>
      </c>
      <c r="K55" s="12" t="inlineStr">
        <is>
          <t>Nodig</t>
        </is>
      </c>
      <c r="L55" s="12" t="inlineStr">
        <is>
          <t>100 uF in 0603 is zeldzaam/duur. Check de stock of neem in overleg 47 uF 0603.</t>
        </is>
      </c>
    </row>
    <row r="56">
      <c r="A56" s="9" t="inlineStr">
        <is>
          <t>Condensatoren</t>
        </is>
      </c>
      <c r="B56" s="9" t="inlineStr">
        <is>
          <t>C29, C61, C64, C68, C69, C76, C87</t>
        </is>
      </c>
      <c r="C56" s="9" t="inlineStr">
        <is>
          <t>1.0uF</t>
        </is>
      </c>
      <c r="D56" s="9" t="inlineStr">
        <is>
          <t>C_0805_2012Metric</t>
        </is>
      </c>
      <c r="E56" s="9" t="n">
        <v>7</v>
      </c>
      <c r="F56" s="9">
        <f>E56*$E$3</f>
        <v/>
      </c>
      <c r="G56" s="9" t="inlineStr">
        <is>
          <t>Boven/Onder</t>
        </is>
      </c>
      <c r="H56" s="9" t="inlineStr">
        <is>
          <t>Condensator 1.0uF 0805</t>
        </is>
      </c>
      <c r="I56" s="9" t="inlineStr"/>
      <c r="J56" s="9" t="inlineStr">
        <is>
          <t>SMT (JLCPCB)</t>
        </is>
      </c>
      <c r="K56" s="9" t="inlineStr">
        <is>
          <t>Nodig</t>
        </is>
      </c>
      <c r="L56" s="9" t="inlineStr"/>
    </row>
    <row r="57">
      <c r="A57" s="9" t="inlineStr">
        <is>
          <t>Condensatoren</t>
        </is>
      </c>
      <c r="B57" s="9" t="inlineStr">
        <is>
          <t>C30, C86</t>
        </is>
      </c>
      <c r="C57" s="9" t="inlineStr">
        <is>
          <t>10uF</t>
        </is>
      </c>
      <c r="D57" s="9" t="inlineStr">
        <is>
          <t>C_0805_2012Metric</t>
        </is>
      </c>
      <c r="E57" s="9" t="n">
        <v>2</v>
      </c>
      <c r="F57" s="9">
        <f>E57*$E$3</f>
        <v/>
      </c>
      <c r="G57" s="9" t="inlineStr">
        <is>
          <t>Onder</t>
        </is>
      </c>
      <c r="H57" s="9" t="inlineStr">
        <is>
          <t>Condensator 10uF 0805</t>
        </is>
      </c>
      <c r="I57" s="9" t="inlineStr"/>
      <c r="J57" s="9" t="inlineStr">
        <is>
          <t>SMT (JLCPCB)</t>
        </is>
      </c>
      <c r="K57" s="9" t="inlineStr">
        <is>
          <t>Nodig</t>
        </is>
      </c>
      <c r="L57" s="9" t="inlineStr"/>
    </row>
    <row r="58">
      <c r="A58" s="9" t="inlineStr">
        <is>
          <t>Condensatoren</t>
        </is>
      </c>
      <c r="B58" s="9" t="inlineStr">
        <is>
          <t>C32, C33, C48, C53, C62, C77, C78, C80</t>
        </is>
      </c>
      <c r="C58" s="9" t="inlineStr">
        <is>
          <t>100uF</t>
        </is>
      </c>
      <c r="D58" s="9" t="inlineStr">
        <is>
          <t>C_1206_3216Metric</t>
        </is>
      </c>
      <c r="E58" s="9" t="n">
        <v>8</v>
      </c>
      <c r="F58" s="9">
        <f>E58*$E$3</f>
        <v/>
      </c>
      <c r="G58" s="9" t="inlineStr">
        <is>
          <t>Boven/Onder</t>
        </is>
      </c>
      <c r="H58" s="9" t="inlineStr">
        <is>
          <t>100 uF 1206, 6,3 V X5R</t>
        </is>
      </c>
      <c r="I58" s="9" t="inlineStr">
        <is>
          <t>C15008</t>
        </is>
      </c>
      <c r="J58" s="9" t="inlineStr">
        <is>
          <t>SMT (JLCPCB)</t>
        </is>
      </c>
      <c r="K58" s="9" t="inlineStr">
        <is>
          <t>Nodig</t>
        </is>
      </c>
      <c r="L58" s="9" t="inlineStr"/>
    </row>
    <row r="59">
      <c r="A59" s="9" t="inlineStr">
        <is>
          <t>Condensatoren</t>
        </is>
      </c>
      <c r="B59" s="9" t="inlineStr">
        <is>
          <t>C34, C42, C45, C46, C51, C55, C56, C66, C67, C70, C72, C73, C74, C88</t>
        </is>
      </c>
      <c r="C59" s="9" t="inlineStr">
        <is>
          <t>1.0uF</t>
        </is>
      </c>
      <c r="D59" s="9" t="inlineStr">
        <is>
          <t>C_1206_3216Metric</t>
        </is>
      </c>
      <c r="E59" s="9" t="n">
        <v>14</v>
      </c>
      <c r="F59" s="9">
        <f>E59*$E$3</f>
        <v/>
      </c>
      <c r="G59" s="9" t="inlineStr">
        <is>
          <t>Boven/Onder</t>
        </is>
      </c>
      <c r="H59" s="9" t="inlineStr">
        <is>
          <t>Condensator 1.0uF 1206</t>
        </is>
      </c>
      <c r="I59" s="9" t="inlineStr"/>
      <c r="J59" s="9" t="inlineStr">
        <is>
          <t>SMT (JLCPCB)</t>
        </is>
      </c>
      <c r="K59" s="9" t="inlineStr">
        <is>
          <t>Nodig</t>
        </is>
      </c>
      <c r="L59" s="9" t="inlineStr"/>
    </row>
    <row r="60">
      <c r="A60" s="9" t="inlineStr">
        <is>
          <t>Condensatoren</t>
        </is>
      </c>
      <c r="B60" s="9" t="inlineStr">
        <is>
          <t>C43, C44</t>
        </is>
      </c>
      <c r="C60" s="9" t="inlineStr">
        <is>
          <t>10uF</t>
        </is>
      </c>
      <c r="D60" s="9" t="inlineStr">
        <is>
          <t>CP_Elec_6.3x4.5</t>
        </is>
      </c>
      <c r="E60" s="9" t="n">
        <v>2</v>
      </c>
      <c r="F60" s="9">
        <f>E60*$E$3</f>
        <v/>
      </c>
      <c r="G60" s="9" t="inlineStr">
        <is>
          <t>Onder</t>
        </is>
      </c>
      <c r="H60" s="9" t="inlineStr">
        <is>
          <t>Elco 10 uF &gt;=10 V, SMD 6,3 x 4,5 mm</t>
        </is>
      </c>
      <c r="I60" s="9" t="inlineStr"/>
      <c r="J60" s="9" t="inlineStr">
        <is>
          <t>SMT (JLCPCB)</t>
        </is>
      </c>
      <c r="K60" s="9" t="inlineStr">
        <is>
          <t>Nodig</t>
        </is>
      </c>
      <c r="L60" s="9" t="inlineStr"/>
    </row>
    <row r="61">
      <c r="A61" s="9" t="inlineStr">
        <is>
          <t>Condensatoren</t>
        </is>
      </c>
      <c r="B61" s="9" t="inlineStr">
        <is>
          <t>C59</t>
        </is>
      </c>
      <c r="C61" s="9" t="inlineStr">
        <is>
          <t>0.1uF</t>
        </is>
      </c>
      <c r="D61" s="9" t="inlineStr">
        <is>
          <t>C_0805_2012Metric</t>
        </is>
      </c>
      <c r="E61" s="9" t="n">
        <v>1</v>
      </c>
      <c r="F61" s="9">
        <f>E61*$E$3</f>
        <v/>
      </c>
      <c r="G61" s="9" t="inlineStr">
        <is>
          <t>Onder</t>
        </is>
      </c>
      <c r="H61" s="9" t="inlineStr">
        <is>
          <t>Condensator 0.1uF 0805</t>
        </is>
      </c>
      <c r="I61" s="9" t="inlineStr"/>
      <c r="J61" s="9" t="inlineStr">
        <is>
          <t>SMT (JLCPCB)</t>
        </is>
      </c>
      <c r="K61" s="9" t="inlineStr">
        <is>
          <t>Nodig</t>
        </is>
      </c>
      <c r="L61" s="9" t="inlineStr"/>
    </row>
    <row r="62">
      <c r="A62" s="9" t="inlineStr">
        <is>
          <t>Condensatoren</t>
        </is>
      </c>
      <c r="B62" s="9" t="inlineStr">
        <is>
          <t>C63</t>
        </is>
      </c>
      <c r="C62" s="9" t="inlineStr">
        <is>
          <t>2.2uF</t>
        </is>
      </c>
      <c r="D62" s="9" t="inlineStr">
        <is>
          <t>C_0603_1608Metric</t>
        </is>
      </c>
      <c r="E62" s="9" t="n">
        <v>1</v>
      </c>
      <c r="F62" s="9">
        <f>E62*$E$3</f>
        <v/>
      </c>
      <c r="G62" s="9" t="inlineStr">
        <is>
          <t>Onder</t>
        </is>
      </c>
      <c r="H62" s="9" t="inlineStr">
        <is>
          <t>Condensator 2.2uF 0603</t>
        </is>
      </c>
      <c r="I62" s="9" t="inlineStr"/>
      <c r="J62" s="9" t="inlineStr">
        <is>
          <t>SMT (JLCPCB)</t>
        </is>
      </c>
      <c r="K62" s="9" t="inlineStr">
        <is>
          <t>Nodig</t>
        </is>
      </c>
      <c r="L62" s="9" t="inlineStr"/>
    </row>
    <row r="63">
      <c r="A63" s="9" t="inlineStr">
        <is>
          <t>Condensatoren</t>
        </is>
      </c>
      <c r="B63" s="9" t="inlineStr">
        <is>
          <t>C65</t>
        </is>
      </c>
      <c r="C63" s="9" t="inlineStr">
        <is>
          <t>10uF</t>
        </is>
      </c>
      <c r="D63" s="9" t="inlineStr">
        <is>
          <t>C_0603_1608Metric</t>
        </is>
      </c>
      <c r="E63" s="9" t="n">
        <v>1</v>
      </c>
      <c r="F63" s="9">
        <f>E63*$E$3</f>
        <v/>
      </c>
      <c r="G63" s="9" t="inlineStr">
        <is>
          <t>Onder</t>
        </is>
      </c>
      <c r="H63" s="9" t="inlineStr">
        <is>
          <t>Condensator 10uF 0603</t>
        </is>
      </c>
      <c r="I63" s="9" t="inlineStr"/>
      <c r="J63" s="9" t="inlineStr">
        <is>
          <t>SMT (JLCPCB)</t>
        </is>
      </c>
      <c r="K63" s="9" t="inlineStr">
        <is>
          <t>Nodig</t>
        </is>
      </c>
      <c r="L63" s="9" t="inlineStr"/>
    </row>
    <row r="64">
      <c r="A64" s="9" t="inlineStr">
        <is>
          <t>Condensatoren</t>
        </is>
      </c>
      <c r="B64" s="9" t="inlineStr">
        <is>
          <t>C81</t>
        </is>
      </c>
      <c r="C64" s="9" t="inlineStr">
        <is>
          <t>0.1uF</t>
        </is>
      </c>
      <c r="D64" s="9" t="inlineStr">
        <is>
          <t>WAi_0402_1005Metric</t>
        </is>
      </c>
      <c r="E64" s="9" t="n">
        <v>1</v>
      </c>
      <c r="F64" s="9">
        <f>E64*$E$3</f>
        <v/>
      </c>
      <c r="G64" s="9" t="inlineStr">
        <is>
          <t>Boven</t>
        </is>
      </c>
      <c r="H64" s="9" t="inlineStr">
        <is>
          <t>Condensator 0.1uF 0402</t>
        </is>
      </c>
      <c r="I64" s="9" t="inlineStr"/>
      <c r="J64" s="9" t="inlineStr">
        <is>
          <t>SMT (JLCPCB)</t>
        </is>
      </c>
      <c r="K64" s="9" t="inlineStr">
        <is>
          <t>Nodig</t>
        </is>
      </c>
      <c r="L64" s="9" t="inlineStr"/>
    </row>
    <row r="65">
      <c r="A65" s="9" t="inlineStr">
        <is>
          <t>Condensatoren</t>
        </is>
      </c>
      <c r="B65" s="9" t="inlineStr">
        <is>
          <t>C82</t>
        </is>
      </c>
      <c r="C65" s="9" t="inlineStr">
        <is>
          <t>4.7uF</t>
        </is>
      </c>
      <c r="D65" s="9" t="inlineStr">
        <is>
          <t>WAi_0402_1005Metric</t>
        </is>
      </c>
      <c r="E65" s="9" t="n">
        <v>1</v>
      </c>
      <c r="F65" s="9">
        <f>E65*$E$3</f>
        <v/>
      </c>
      <c r="G65" s="9" t="inlineStr">
        <is>
          <t>Boven</t>
        </is>
      </c>
      <c r="H65" s="9" t="inlineStr">
        <is>
          <t>Condensator 4.7uF 0402</t>
        </is>
      </c>
      <c r="I65" s="9" t="inlineStr"/>
      <c r="J65" s="9" t="inlineStr">
        <is>
          <t>SMT (JLCPCB)</t>
        </is>
      </c>
      <c r="K65" s="9" t="inlineStr">
        <is>
          <t>Nodig</t>
        </is>
      </c>
      <c r="L65" s="9" t="inlineStr"/>
    </row>
    <row r="66">
      <c r="A66" s="9" t="inlineStr">
        <is>
          <t>Condensatoren</t>
        </is>
      </c>
      <c r="B66" s="9" t="inlineStr">
        <is>
          <t>C83, C84</t>
        </is>
      </c>
      <c r="C66" s="9" t="inlineStr">
        <is>
          <t>22.1uF</t>
        </is>
      </c>
      <c r="D66" s="9" t="inlineStr">
        <is>
          <t>C_0402_1005Metric</t>
        </is>
      </c>
      <c r="E66" s="9" t="n">
        <v>2</v>
      </c>
      <c r="F66" s="9">
        <f>E66*$E$3</f>
        <v/>
      </c>
      <c r="G66" s="9" t="inlineStr">
        <is>
          <t>Boven</t>
        </is>
      </c>
      <c r="H66" s="9" t="inlineStr">
        <is>
          <t>22 uF 0402, 6,3 V X5R</t>
        </is>
      </c>
      <c r="I66" s="9" t="inlineStr"/>
      <c r="J66" s="9" t="inlineStr">
        <is>
          <t>SMT (JLCPCB)</t>
        </is>
      </c>
      <c r="K66" s="9" t="inlineStr">
        <is>
          <t>Nodig</t>
        </is>
      </c>
      <c r="L66" s="9" t="inlineStr">
        <is>
          <t>Op de print staat '22.1uF' - bedoeld is 22 uF.</t>
        </is>
      </c>
    </row>
    <row r="67">
      <c r="A67" s="9" t="inlineStr">
        <is>
          <t>Weerstanden</t>
        </is>
      </c>
      <c r="B67" s="9" t="inlineStr">
        <is>
          <t>R1</t>
        </is>
      </c>
      <c r="C67" s="9" t="inlineStr">
        <is>
          <t>500k</t>
        </is>
      </c>
      <c r="D67" s="9" t="inlineStr">
        <is>
          <t>R_0603_1608Metric</t>
        </is>
      </c>
      <c r="E67" s="9" t="n">
        <v>1</v>
      </c>
      <c r="F67" s="9">
        <f>E67*$E$3</f>
        <v/>
      </c>
      <c r="G67" s="9" t="inlineStr">
        <is>
          <t>Onder</t>
        </is>
      </c>
      <c r="H67" s="9" t="inlineStr">
        <is>
          <t>Weerstand 500k 0603</t>
        </is>
      </c>
      <c r="I67" s="9" t="inlineStr"/>
      <c r="J67" s="9" t="inlineStr">
        <is>
          <t>SMT (JLCPCB)</t>
        </is>
      </c>
      <c r="K67" s="9" t="inlineStr">
        <is>
          <t>Nodig</t>
        </is>
      </c>
      <c r="L67" s="9" t="inlineStr"/>
    </row>
    <row r="68">
      <c r="A68" s="9" t="inlineStr">
        <is>
          <t>Weerstanden</t>
        </is>
      </c>
      <c r="B68" s="9" t="inlineStr">
        <is>
          <t>R2</t>
        </is>
      </c>
      <c r="C68" s="9" t="inlineStr">
        <is>
          <t>330</t>
        </is>
      </c>
      <c r="D68" s="9" t="inlineStr">
        <is>
          <t>R_0603_1608Metric</t>
        </is>
      </c>
      <c r="E68" s="9" t="n">
        <v>1</v>
      </c>
      <c r="F68" s="9">
        <f>E68*$E$3</f>
        <v/>
      </c>
      <c r="G68" s="9" t="inlineStr">
        <is>
          <t>Boven</t>
        </is>
      </c>
      <c r="H68" s="9" t="inlineStr">
        <is>
          <t>Weerstand 330 0603</t>
        </is>
      </c>
      <c r="I68" s="9" t="inlineStr"/>
      <c r="J68" s="9" t="inlineStr">
        <is>
          <t>SMT (JLCPCB)</t>
        </is>
      </c>
      <c r="K68" s="9" t="inlineStr">
        <is>
          <t>Nodig</t>
        </is>
      </c>
      <c r="L68" s="9" t="inlineStr"/>
    </row>
    <row r="69">
      <c r="A69" s="9" t="inlineStr">
        <is>
          <t>Weerstanden</t>
        </is>
      </c>
      <c r="B69" s="9" t="inlineStr">
        <is>
          <t>R3</t>
        </is>
      </c>
      <c r="C69" s="9" t="inlineStr">
        <is>
          <t>390k</t>
        </is>
      </c>
      <c r="D69" s="9" t="inlineStr">
        <is>
          <t>R_0603_1608Metric</t>
        </is>
      </c>
      <c r="E69" s="9" t="n">
        <v>1</v>
      </c>
      <c r="F69" s="9">
        <f>E69*$E$3</f>
        <v/>
      </c>
      <c r="G69" s="9" t="inlineStr">
        <is>
          <t>Onder</t>
        </is>
      </c>
      <c r="H69" s="9" t="inlineStr">
        <is>
          <t>Weerstand 390k 0603</t>
        </is>
      </c>
      <c r="I69" s="9" t="inlineStr"/>
      <c r="J69" s="9" t="inlineStr">
        <is>
          <t>SMT (JLCPCB)</t>
        </is>
      </c>
      <c r="K69" s="9" t="inlineStr">
        <is>
          <t>Nodig</t>
        </is>
      </c>
      <c r="L69" s="9" t="inlineStr"/>
    </row>
    <row r="70">
      <c r="A70" s="9" t="inlineStr">
        <is>
          <t>Weerstanden</t>
        </is>
      </c>
      <c r="B70" s="9" t="inlineStr">
        <is>
          <t>R4</t>
        </is>
      </c>
      <c r="C70" s="9" t="inlineStr">
        <is>
          <t>1.62M</t>
        </is>
      </c>
      <c r="D70" s="9" t="inlineStr">
        <is>
          <t>C_0402_1005Metric</t>
        </is>
      </c>
      <c r="E70" s="9" t="n">
        <v>1</v>
      </c>
      <c r="F70" s="9">
        <f>E70*$E$3</f>
        <v/>
      </c>
      <c r="G70" s="9" t="inlineStr">
        <is>
          <t>Boven</t>
        </is>
      </c>
      <c r="H70" s="9" t="inlineStr">
        <is>
          <t>1,62 Mohm 0402</t>
        </is>
      </c>
      <c r="I70" s="9" t="inlineStr"/>
      <c r="J70" s="9" t="inlineStr">
        <is>
          <t>SMT (JLCPCB)</t>
        </is>
      </c>
      <c r="K70" s="9" t="inlineStr">
        <is>
          <t>Nodig</t>
        </is>
      </c>
      <c r="L70" s="9" t="inlineStr">
        <is>
          <t>Staat op een condensator-footprint (0402) - gewoon een 0402-weerstand. Bepaalt de 5V (samen met R13).</t>
        </is>
      </c>
    </row>
    <row r="71">
      <c r="A71" s="9" t="inlineStr">
        <is>
          <t>Weerstanden</t>
        </is>
      </c>
      <c r="B71" s="9" t="inlineStr">
        <is>
          <t>R5, R6, R7, R8, R9, R10, R11, R12, R20, R24, R27, R29, R34, R39</t>
        </is>
      </c>
      <c r="C71" s="9" t="inlineStr">
        <is>
          <t>10k</t>
        </is>
      </c>
      <c r="D71" s="9" t="inlineStr">
        <is>
          <t>R_0603_1608Metric</t>
        </is>
      </c>
      <c r="E71" s="9" t="n">
        <v>14</v>
      </c>
      <c r="F71" s="9">
        <f>E71*$E$3</f>
        <v/>
      </c>
      <c r="G71" s="9" t="inlineStr">
        <is>
          <t>Boven/Onder</t>
        </is>
      </c>
      <c r="H71" s="9" t="inlineStr">
        <is>
          <t>Weerstand 10k 0603</t>
        </is>
      </c>
      <c r="I71" s="9" t="inlineStr"/>
      <c r="J71" s="9" t="inlineStr">
        <is>
          <t>SMT (JLCPCB)</t>
        </is>
      </c>
      <c r="K71" s="9" t="inlineStr">
        <is>
          <t>Nodig</t>
        </is>
      </c>
      <c r="L71" s="9" t="inlineStr"/>
    </row>
    <row r="72">
      <c r="A72" s="9" t="inlineStr">
        <is>
          <t>Weerstanden</t>
        </is>
      </c>
      <c r="B72" s="9" t="inlineStr">
        <is>
          <t>R13</t>
        </is>
      </c>
      <c r="C72" s="9" t="inlineStr">
        <is>
          <t>180k</t>
        </is>
      </c>
      <c r="D72" s="9" t="inlineStr">
        <is>
          <t>C_0402_1005Metric</t>
        </is>
      </c>
      <c r="E72" s="9" t="n">
        <v>1</v>
      </c>
      <c r="F72" s="9">
        <f>E72*$E$3</f>
        <v/>
      </c>
      <c r="G72" s="9" t="inlineStr">
        <is>
          <t>Boven</t>
        </is>
      </c>
      <c r="H72" s="9" t="inlineStr">
        <is>
          <t>Weerstand 180k 0402</t>
        </is>
      </c>
      <c r="I72" s="9" t="inlineStr"/>
      <c r="J72" s="9" t="inlineStr">
        <is>
          <t>SMT (JLCPCB)</t>
        </is>
      </c>
      <c r="K72" s="9" t="inlineStr">
        <is>
          <t>Nodig</t>
        </is>
      </c>
      <c r="L72" s="9" t="inlineStr"/>
    </row>
    <row r="73">
      <c r="A73" s="9" t="inlineStr">
        <is>
          <t>Weerstanden</t>
        </is>
      </c>
      <c r="B73" s="9" t="inlineStr">
        <is>
          <t>R14, R15</t>
        </is>
      </c>
      <c r="C73" s="9" t="inlineStr">
        <is>
          <t>27</t>
        </is>
      </c>
      <c r="D73" s="9" t="inlineStr">
        <is>
          <t>C_0402_1005Metric</t>
        </is>
      </c>
      <c r="E73" s="9" t="n">
        <v>2</v>
      </c>
      <c r="F73" s="9">
        <f>E73*$E$3</f>
        <v/>
      </c>
      <c r="G73" s="9" t="inlineStr">
        <is>
          <t>Boven</t>
        </is>
      </c>
      <c r="H73" s="9" t="inlineStr">
        <is>
          <t>27 ohm 0402</t>
        </is>
      </c>
      <c r="I73" s="9" t="inlineStr">
        <is>
          <t>C138021</t>
        </is>
      </c>
      <c r="J73" s="9" t="inlineStr">
        <is>
          <t>SMT (JLCPCB)</t>
        </is>
      </c>
      <c r="K73" s="9" t="inlineStr">
        <is>
          <t>Nodig</t>
        </is>
      </c>
      <c r="L73" s="9" t="inlineStr"/>
    </row>
    <row r="74">
      <c r="A74" s="9" t="inlineStr">
        <is>
          <t>Weerstanden</t>
        </is>
      </c>
      <c r="B74" s="9" t="inlineStr">
        <is>
          <t>R16, R33</t>
        </is>
      </c>
      <c r="C74" s="9" t="inlineStr">
        <is>
          <t>5.1k</t>
        </is>
      </c>
      <c r="D74" s="9" t="inlineStr">
        <is>
          <t>R_0603_1608Metric</t>
        </is>
      </c>
      <c r="E74" s="9" t="n">
        <v>2</v>
      </c>
      <c r="F74" s="9">
        <f>E74*$E$3</f>
        <v/>
      </c>
      <c r="G74" s="9" t="inlineStr">
        <is>
          <t>Boven</t>
        </is>
      </c>
      <c r="H74" s="9" t="inlineStr">
        <is>
          <t>Weerstand 5.1k 0603</t>
        </is>
      </c>
      <c r="I74" s="9" t="inlineStr"/>
      <c r="J74" s="9" t="inlineStr">
        <is>
          <t>SMT (JLCPCB)</t>
        </is>
      </c>
      <c r="K74" s="9" t="inlineStr">
        <is>
          <t>Nodig</t>
        </is>
      </c>
      <c r="L74" s="9" t="inlineStr"/>
    </row>
    <row r="75">
      <c r="A75" s="9" t="inlineStr">
        <is>
          <t>Weerstanden</t>
        </is>
      </c>
      <c r="B75" s="9" t="inlineStr">
        <is>
          <t>R17, R18, R19</t>
        </is>
      </c>
      <c r="C75" s="9" t="inlineStr">
        <is>
          <t>330</t>
        </is>
      </c>
      <c r="D75" s="9" t="inlineStr">
        <is>
          <t>R_0402_1005Metric</t>
        </is>
      </c>
      <c r="E75" s="9" t="n">
        <v>3</v>
      </c>
      <c r="F75" s="9">
        <f>E75*$E$3</f>
        <v/>
      </c>
      <c r="G75" s="9" t="inlineStr">
        <is>
          <t>Onder</t>
        </is>
      </c>
      <c r="H75" s="9" t="inlineStr">
        <is>
          <t>Weerstand 330 0402</t>
        </is>
      </c>
      <c r="I75" s="9" t="inlineStr"/>
      <c r="J75" s="9" t="inlineStr">
        <is>
          <t>SMT (JLCPCB)</t>
        </is>
      </c>
      <c r="K75" s="9" t="inlineStr">
        <is>
          <t>Nodig</t>
        </is>
      </c>
      <c r="L75" s="9" t="inlineStr"/>
    </row>
    <row r="76">
      <c r="A76" s="9" t="inlineStr">
        <is>
          <t>Weerstanden</t>
        </is>
      </c>
      <c r="B76" s="9" t="inlineStr">
        <is>
          <t>R21, R22, R23</t>
        </is>
      </c>
      <c r="C76" s="9" t="inlineStr">
        <is>
          <t>0</t>
        </is>
      </c>
      <c r="D76" s="9" t="inlineStr">
        <is>
          <t>R_0603_1608Metric</t>
        </is>
      </c>
      <c r="E76" s="9" t="n">
        <v>3</v>
      </c>
      <c r="F76" s="9">
        <f>E76*$E$3</f>
        <v/>
      </c>
      <c r="G76" s="9" t="inlineStr">
        <is>
          <t>Boven</t>
        </is>
      </c>
      <c r="H76" s="9" t="inlineStr">
        <is>
          <t>Weerstand 0 0603</t>
        </is>
      </c>
      <c r="I76" s="9" t="inlineStr"/>
      <c r="J76" s="9" t="inlineStr">
        <is>
          <t>SMT (JLCPCB)</t>
        </is>
      </c>
      <c r="K76" s="9" t="inlineStr">
        <is>
          <t>Nodig</t>
        </is>
      </c>
      <c r="L76" s="9" t="inlineStr"/>
    </row>
    <row r="77">
      <c r="A77" s="9" t="inlineStr">
        <is>
          <t>Weerstanden</t>
        </is>
      </c>
      <c r="B77" s="9" t="inlineStr">
        <is>
          <t>R25</t>
        </is>
      </c>
      <c r="C77" s="9" t="inlineStr">
        <is>
          <t>33</t>
        </is>
      </c>
      <c r="D77" s="9" t="inlineStr">
        <is>
          <t>R_0402_1005Metric</t>
        </is>
      </c>
      <c r="E77" s="9" t="n">
        <v>1</v>
      </c>
      <c r="F77" s="9">
        <f>E77*$E$3</f>
        <v/>
      </c>
      <c r="G77" s="9" t="inlineStr">
        <is>
          <t>Boven</t>
        </is>
      </c>
      <c r="H77" s="9" t="inlineStr">
        <is>
          <t>33 ohm 0402</t>
        </is>
      </c>
      <c r="I77" s="9" t="inlineStr">
        <is>
          <t>C137880</t>
        </is>
      </c>
      <c r="J77" s="9" t="inlineStr">
        <is>
          <t>SMT (JLCPCB)</t>
        </is>
      </c>
      <c r="K77" s="9" t="inlineStr">
        <is>
          <t>Nodig</t>
        </is>
      </c>
      <c r="L77" s="9" t="inlineStr"/>
    </row>
    <row r="78">
      <c r="A78" s="9" t="inlineStr">
        <is>
          <t>Weerstanden</t>
        </is>
      </c>
      <c r="B78" s="9" t="inlineStr">
        <is>
          <t>R26, R49</t>
        </is>
      </c>
      <c r="C78" s="9" t="inlineStr">
        <is>
          <t>1k</t>
        </is>
      </c>
      <c r="D78" s="9" t="inlineStr">
        <is>
          <t>R_0402_1005Metric</t>
        </is>
      </c>
      <c r="E78" s="9" t="n">
        <v>2</v>
      </c>
      <c r="F78" s="9">
        <f>E78*$E$3</f>
        <v/>
      </c>
      <c r="G78" s="9" t="inlineStr">
        <is>
          <t>Boven</t>
        </is>
      </c>
      <c r="H78" s="9" t="inlineStr">
        <is>
          <t>Weerstand 1k 0402</t>
        </is>
      </c>
      <c r="I78" s="9" t="inlineStr"/>
      <c r="J78" s="9" t="inlineStr">
        <is>
          <t>SMT (JLCPCB)</t>
        </is>
      </c>
      <c r="K78" s="9" t="inlineStr">
        <is>
          <t>Nodig</t>
        </is>
      </c>
      <c r="L78" s="9" t="inlineStr"/>
    </row>
    <row r="79">
      <c r="A79" s="9" t="inlineStr">
        <is>
          <t>Weerstanden</t>
        </is>
      </c>
      <c r="B79" s="9" t="inlineStr">
        <is>
          <t>R28</t>
        </is>
      </c>
      <c r="C79" s="9" t="inlineStr">
        <is>
          <t>10</t>
        </is>
      </c>
      <c r="D79" s="9" t="inlineStr">
        <is>
          <t>R_0603_1608Metric</t>
        </is>
      </c>
      <c r="E79" s="9" t="n">
        <v>1</v>
      </c>
      <c r="F79" s="9">
        <f>E79*$E$3</f>
        <v/>
      </c>
      <c r="G79" s="9" t="inlineStr">
        <is>
          <t>Boven</t>
        </is>
      </c>
      <c r="H79" s="9" t="inlineStr">
        <is>
          <t>Weerstand 10 0603</t>
        </is>
      </c>
      <c r="I79" s="9" t="inlineStr"/>
      <c r="J79" s="9" t="inlineStr">
        <is>
          <t>SMT (JLCPCB)</t>
        </is>
      </c>
      <c r="K79" s="9" t="inlineStr">
        <is>
          <t>Nodig</t>
        </is>
      </c>
      <c r="L79" s="9" t="inlineStr"/>
    </row>
    <row r="80">
      <c r="A80" s="9" t="inlineStr">
        <is>
          <t>Weerstanden</t>
        </is>
      </c>
      <c r="B80" s="9" t="inlineStr">
        <is>
          <t>R30, R54</t>
        </is>
      </c>
      <c r="C80" s="9" t="inlineStr">
        <is>
          <t>10K</t>
        </is>
      </c>
      <c r="D80" s="9" t="inlineStr">
        <is>
          <t>R_0402_1005Metric</t>
        </is>
      </c>
      <c r="E80" s="9" t="n">
        <v>2</v>
      </c>
      <c r="F80" s="9">
        <f>E80*$E$3</f>
        <v/>
      </c>
      <c r="G80" s="9" t="inlineStr">
        <is>
          <t>Boven</t>
        </is>
      </c>
      <c r="H80" s="9" t="inlineStr">
        <is>
          <t>Weerstand 10K 0402</t>
        </is>
      </c>
      <c r="I80" s="9" t="inlineStr"/>
      <c r="J80" s="9" t="inlineStr">
        <is>
          <t>SMT (JLCPCB)</t>
        </is>
      </c>
      <c r="K80" s="9" t="inlineStr">
        <is>
          <t>Nodig</t>
        </is>
      </c>
      <c r="L80" s="9" t="inlineStr"/>
    </row>
    <row r="81">
      <c r="A81" s="9" t="inlineStr">
        <is>
          <t>Weerstanden</t>
        </is>
      </c>
      <c r="B81" s="9" t="inlineStr">
        <is>
          <t>R31</t>
        </is>
      </c>
      <c r="C81" s="9" t="inlineStr">
        <is>
          <t>1k</t>
        </is>
      </c>
      <c r="D81" s="9" t="inlineStr">
        <is>
          <t>R_0603_1608Metric</t>
        </is>
      </c>
      <c r="E81" s="9" t="n">
        <v>1</v>
      </c>
      <c r="F81" s="9">
        <f>E81*$E$3</f>
        <v/>
      </c>
      <c r="G81" s="9" t="inlineStr">
        <is>
          <t>Boven</t>
        </is>
      </c>
      <c r="H81" s="9" t="inlineStr">
        <is>
          <t>Weerstand 1k 0603</t>
        </is>
      </c>
      <c r="I81" s="9" t="inlineStr"/>
      <c r="J81" s="9" t="inlineStr">
        <is>
          <t>SMT (JLCPCB)</t>
        </is>
      </c>
      <c r="K81" s="9" t="inlineStr">
        <is>
          <t>Nodig</t>
        </is>
      </c>
      <c r="L81" s="9" t="inlineStr"/>
    </row>
    <row r="82">
      <c r="A82" s="9" t="inlineStr">
        <is>
          <t>Weerstanden</t>
        </is>
      </c>
      <c r="B82" s="9" t="inlineStr">
        <is>
          <t>R32, R58, R59, R60, R61, R62, R63, R64, R65, R66, R67, R68, R69, R70, R71, R72</t>
        </is>
      </c>
      <c r="C82" s="9" t="inlineStr">
        <is>
          <t>220</t>
        </is>
      </c>
      <c r="D82" s="9" t="inlineStr">
        <is>
          <t>R_0402_1005Metric</t>
        </is>
      </c>
      <c r="E82" s="9" t="n">
        <v>16</v>
      </c>
      <c r="F82" s="9">
        <f>E82*$E$3</f>
        <v/>
      </c>
      <c r="G82" s="9" t="inlineStr">
        <is>
          <t>Boven</t>
        </is>
      </c>
      <c r="H82" s="9" t="inlineStr">
        <is>
          <t>Weerstand 220 0402</t>
        </is>
      </c>
      <c r="I82" s="9" t="inlineStr"/>
      <c r="J82" s="9" t="inlineStr">
        <is>
          <t>SMT (JLCPCB)</t>
        </is>
      </c>
      <c r="K82" s="9" t="inlineStr">
        <is>
          <t>Nodig</t>
        </is>
      </c>
      <c r="L82" s="9" t="inlineStr"/>
    </row>
    <row r="83">
      <c r="A83" s="9" t="inlineStr">
        <is>
          <t>Weerstanden</t>
        </is>
      </c>
      <c r="B83" s="9" t="inlineStr">
        <is>
          <t>R35</t>
        </is>
      </c>
      <c r="C83" s="9" t="inlineStr">
        <is>
          <t>453k</t>
        </is>
      </c>
      <c r="D83" s="9" t="inlineStr">
        <is>
          <t>R_0603_1608Metric</t>
        </is>
      </c>
      <c r="E83" s="9" t="n">
        <v>1</v>
      </c>
      <c r="F83" s="9">
        <f>E83*$E$3</f>
        <v/>
      </c>
      <c r="G83" s="9" t="inlineStr">
        <is>
          <t>Boven</t>
        </is>
      </c>
      <c r="H83" s="9" t="inlineStr">
        <is>
          <t>453 kohm 0603</t>
        </is>
      </c>
      <c r="I83" s="9" t="inlineStr">
        <is>
          <t>C273765</t>
        </is>
      </c>
      <c r="J83" s="9" t="inlineStr">
        <is>
          <t>SMT (JLCPCB)</t>
        </is>
      </c>
      <c r="K83" s="9" t="inlineStr">
        <is>
          <t>Nodig</t>
        </is>
      </c>
      <c r="L83" s="9" t="inlineStr"/>
    </row>
    <row r="84">
      <c r="A84" s="9" t="inlineStr">
        <is>
          <t>Weerstanden</t>
        </is>
      </c>
      <c r="B84" s="9" t="inlineStr">
        <is>
          <t>R36, R38</t>
        </is>
      </c>
      <c r="C84" s="9" t="inlineStr">
        <is>
          <t>100k</t>
        </is>
      </c>
      <c r="D84" s="9" t="inlineStr">
        <is>
          <t>R_0603_1608Metric</t>
        </is>
      </c>
      <c r="E84" s="9" t="n">
        <v>2</v>
      </c>
      <c r="F84" s="9">
        <f>E84*$E$3</f>
        <v/>
      </c>
      <c r="G84" s="9" t="inlineStr">
        <is>
          <t>Boven</t>
        </is>
      </c>
      <c r="H84" s="9" t="inlineStr">
        <is>
          <t>100 kohm 0603</t>
        </is>
      </c>
      <c r="I84" s="9" t="inlineStr">
        <is>
          <t>C14675</t>
        </is>
      </c>
      <c r="J84" s="9" t="inlineStr">
        <is>
          <t>SMT (JLCPCB)</t>
        </is>
      </c>
      <c r="K84" s="9" t="inlineStr">
        <is>
          <t>Nodig</t>
        </is>
      </c>
      <c r="L84" s="9" t="inlineStr"/>
    </row>
    <row r="85">
      <c r="A85" s="9" t="inlineStr">
        <is>
          <t>Weerstanden</t>
        </is>
      </c>
      <c r="B85" s="9" t="inlineStr">
        <is>
          <t>R37</t>
        </is>
      </c>
      <c r="C85" s="9" t="inlineStr">
        <is>
          <t>200k</t>
        </is>
      </c>
      <c r="D85" s="9" t="inlineStr">
        <is>
          <t>R_0603_1608Metric</t>
        </is>
      </c>
      <c r="E85" s="9" t="n">
        <v>1</v>
      </c>
      <c r="F85" s="9">
        <f>E85*$E$3</f>
        <v/>
      </c>
      <c r="G85" s="9" t="inlineStr">
        <is>
          <t>Boven</t>
        </is>
      </c>
      <c r="H85" s="9" t="inlineStr">
        <is>
          <t>200 kohm 0603</t>
        </is>
      </c>
      <c r="I85" s="9" t="inlineStr">
        <is>
          <t>C105574</t>
        </is>
      </c>
      <c r="J85" s="9" t="inlineStr">
        <is>
          <t>SMT (JLCPCB)</t>
        </is>
      </c>
      <c r="K85" s="9" t="inlineStr">
        <is>
          <t>Nodig</t>
        </is>
      </c>
      <c r="L85" s="9" t="inlineStr"/>
    </row>
    <row r="86">
      <c r="A86" s="9" t="inlineStr">
        <is>
          <t>Weerstanden</t>
        </is>
      </c>
      <c r="B86" s="9" t="inlineStr">
        <is>
          <t>R44</t>
        </is>
      </c>
      <c r="C86" s="9" t="inlineStr">
        <is>
          <t>100k</t>
        </is>
      </c>
      <c r="D86" s="9" t="inlineStr">
        <is>
          <t>R_0805_2012Metric</t>
        </is>
      </c>
      <c r="E86" s="9" t="n">
        <v>1</v>
      </c>
      <c r="F86" s="9">
        <f>E86*$E$3</f>
        <v/>
      </c>
      <c r="G86" s="9" t="inlineStr">
        <is>
          <t>Boven</t>
        </is>
      </c>
      <c r="H86" s="9" t="inlineStr">
        <is>
          <t>Weerstand 100k 0805</t>
        </is>
      </c>
      <c r="I86" s="9" t="inlineStr"/>
      <c r="J86" s="9" t="inlineStr">
        <is>
          <t>SMT (JLCPCB)</t>
        </is>
      </c>
      <c r="K86" s="9" t="inlineStr">
        <is>
          <t>Nodig</t>
        </is>
      </c>
      <c r="L86" s="9" t="inlineStr"/>
    </row>
    <row r="87">
      <c r="A87" s="9" t="inlineStr">
        <is>
          <t>Weerstanden</t>
        </is>
      </c>
      <c r="B87" s="9" t="inlineStr">
        <is>
          <t>R45, R46, R47, R48</t>
        </is>
      </c>
      <c r="C87" s="9" t="inlineStr">
        <is>
          <t>2.2K</t>
        </is>
      </c>
      <c r="D87" s="9" t="inlineStr">
        <is>
          <t>R_0402_1005Metric</t>
        </is>
      </c>
      <c r="E87" s="9" t="n">
        <v>4</v>
      </c>
      <c r="F87" s="9">
        <f>E87*$E$3</f>
        <v/>
      </c>
      <c r="G87" s="9" t="inlineStr">
        <is>
          <t>Boven</t>
        </is>
      </c>
      <c r="H87" s="9" t="inlineStr">
        <is>
          <t>Weerstand 2.2K 0402</t>
        </is>
      </c>
      <c r="I87" s="9" t="inlineStr"/>
      <c r="J87" s="9" t="inlineStr">
        <is>
          <t>SMT (JLCPCB)</t>
        </is>
      </c>
      <c r="K87" s="9" t="inlineStr">
        <is>
          <t>Nodig</t>
        </is>
      </c>
      <c r="L87" s="9" t="inlineStr"/>
    </row>
    <row r="88">
      <c r="A88" s="9" t="inlineStr">
        <is>
          <t>Weerstanden</t>
        </is>
      </c>
      <c r="B88" s="9" t="inlineStr">
        <is>
          <t>R50</t>
        </is>
      </c>
      <c r="C88" s="9" t="inlineStr">
        <is>
          <t>100K</t>
        </is>
      </c>
      <c r="D88" s="9" t="inlineStr">
        <is>
          <t>R_0402_1005Metric</t>
        </is>
      </c>
      <c r="E88" s="9" t="n">
        <v>1</v>
      </c>
      <c r="F88" s="9">
        <f>E88*$E$3</f>
        <v/>
      </c>
      <c r="G88" s="9" t="inlineStr">
        <is>
          <t>Boven</t>
        </is>
      </c>
      <c r="H88" s="9" t="inlineStr">
        <is>
          <t>Weerstand 100K 0402</t>
        </is>
      </c>
      <c r="I88" s="9" t="inlineStr"/>
      <c r="J88" s="9" t="inlineStr">
        <is>
          <t>SMT (JLCPCB)</t>
        </is>
      </c>
      <c r="K88" s="9" t="inlineStr">
        <is>
          <t>Nodig</t>
        </is>
      </c>
      <c r="L88" s="9" t="inlineStr"/>
    </row>
    <row r="89">
      <c r="A89" s="9" t="inlineStr">
        <is>
          <t>Weerstanden</t>
        </is>
      </c>
      <c r="B89" s="9" t="inlineStr">
        <is>
          <t>R51</t>
        </is>
      </c>
      <c r="C89" s="9" t="inlineStr">
        <is>
          <t>1M</t>
        </is>
      </c>
      <c r="D89" s="9" t="inlineStr">
        <is>
          <t>R_0402_1005Metric</t>
        </is>
      </c>
      <c r="E89" s="9" t="n">
        <v>1</v>
      </c>
      <c r="F89" s="9">
        <f>E89*$E$3</f>
        <v/>
      </c>
      <c r="G89" s="9" t="inlineStr">
        <is>
          <t>Boven</t>
        </is>
      </c>
      <c r="H89" s="9" t="inlineStr">
        <is>
          <t>1 Mohm 0402</t>
        </is>
      </c>
      <c r="I89" s="9" t="inlineStr">
        <is>
          <t>C138033</t>
        </is>
      </c>
      <c r="J89" s="9" t="inlineStr">
        <is>
          <t>SMT (JLCPCB)</t>
        </is>
      </c>
      <c r="K89" s="9" t="inlineStr">
        <is>
          <t>Nodig</t>
        </is>
      </c>
      <c r="L89" s="9" t="inlineStr"/>
    </row>
    <row r="90">
      <c r="A90" s="9" t="inlineStr">
        <is>
          <t>Weerstanden</t>
        </is>
      </c>
      <c r="B90" s="9" t="inlineStr">
        <is>
          <t>R53</t>
        </is>
      </c>
      <c r="C90" s="9" t="inlineStr">
        <is>
          <t>2.2k</t>
        </is>
      </c>
      <c r="D90" s="9" t="inlineStr">
        <is>
          <t>R_0402_1005Metric</t>
        </is>
      </c>
      <c r="E90" s="9" t="n">
        <v>1</v>
      </c>
      <c r="F90" s="9">
        <f>E90*$E$3</f>
        <v/>
      </c>
      <c r="G90" s="9" t="inlineStr">
        <is>
          <t>Boven</t>
        </is>
      </c>
      <c r="H90" s="9" t="inlineStr">
        <is>
          <t>Weerstand 2.2k 0402</t>
        </is>
      </c>
      <c r="I90" s="9" t="inlineStr"/>
      <c r="J90" s="9" t="inlineStr">
        <is>
          <t>SMT (JLCPCB)</t>
        </is>
      </c>
      <c r="K90" s="9" t="inlineStr">
        <is>
          <t>Nodig</t>
        </is>
      </c>
      <c r="L90" s="9" t="inlineStr"/>
    </row>
    <row r="91">
      <c r="A91" s="9" t="inlineStr">
        <is>
          <t>Weerstanden</t>
        </is>
      </c>
      <c r="B91" s="9" t="inlineStr">
        <is>
          <t>R55, R56</t>
        </is>
      </c>
      <c r="C91" s="9" t="inlineStr">
        <is>
          <t>1.4M</t>
        </is>
      </c>
      <c r="D91" s="9" t="inlineStr">
        <is>
          <t>R_0603_1608Metric</t>
        </is>
      </c>
      <c r="E91" s="9" t="n">
        <v>2</v>
      </c>
      <c r="F91" s="9">
        <f>E91*$E$3</f>
        <v/>
      </c>
      <c r="G91" s="9" t="inlineStr">
        <is>
          <t>Onder</t>
        </is>
      </c>
      <c r="H91" s="9" t="inlineStr">
        <is>
          <t>Weerstand 1.4M 0603</t>
        </is>
      </c>
      <c r="I91" s="9" t="inlineStr"/>
      <c r="J91" s="9" t="inlineStr">
        <is>
          <t>SMT (JLCPCB)</t>
        </is>
      </c>
      <c r="K91" s="9" t="inlineStr">
        <is>
          <t>Nodig</t>
        </is>
      </c>
      <c r="L91" s="9" t="inlineStr"/>
    </row>
    <row r="92">
      <c r="A92" s="9" t="inlineStr">
        <is>
          <t>Weerstanden</t>
        </is>
      </c>
      <c r="B92" s="9" t="inlineStr">
        <is>
          <t>R73</t>
        </is>
      </c>
      <c r="C92" s="9" t="inlineStr">
        <is>
          <t>220</t>
        </is>
      </c>
      <c r="D92" s="9" t="inlineStr">
        <is>
          <t>R_0603_1608Metric</t>
        </is>
      </c>
      <c r="E92" s="9" t="n">
        <v>1</v>
      </c>
      <c r="F92" s="9">
        <f>E92*$E$3</f>
        <v/>
      </c>
      <c r="G92" s="9" t="inlineStr">
        <is>
          <t>Onder</t>
        </is>
      </c>
      <c r="H92" s="9" t="inlineStr">
        <is>
          <t>Weerstand 220 0603</t>
        </is>
      </c>
      <c r="I92" s="9" t="inlineStr"/>
      <c r="J92" s="9" t="inlineStr">
        <is>
          <t>SMT (JLCPCB)</t>
        </is>
      </c>
      <c r="K92" s="9" t="inlineStr">
        <is>
          <t>Nodig</t>
        </is>
      </c>
      <c r="L92" s="9" t="inlineStr"/>
    </row>
    <row r="93">
      <c r="D93" s="10" t="inlineStr">
        <is>
          <t>Totaal plaatsingen</t>
        </is>
      </c>
      <c r="E93" s="10">
        <f>SUM(E6:E92)</f>
        <v/>
      </c>
    </row>
    <row r="94">
      <c r="A94" s="14" t="inlineStr">
        <is>
          <t>LCSC-nummers komen uit de eigen LCSC-bestellijst van de ontwerper (KiCad_files/BOM) en zijn gecheckt op behuizing. Lege LCSC-cel = laat de JLCPCB-BOM-tool zoeken op waarde + behuizing.</t>
        </is>
      </c>
    </row>
  </sheetData>
  <autoFilter ref="A5:L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50" customWidth="1" min="4" max="4"/>
    <col width="12" customWidth="1" min="5" max="5"/>
    <col width="11" customWidth="1" min="6" max="6"/>
    <col width="80" customWidth="1" min="7" max="7"/>
  </cols>
  <sheetData>
    <row r="1">
      <c r="A1" s="1" t="inlineStr">
        <is>
          <t>Cartridge 'StereoMag dev kit' - onderdelenlijst</t>
        </is>
      </c>
    </row>
    <row r="2">
      <c r="A2" s="2" t="inlineStr">
        <is>
          <t>Bron: hackaday.io/project/205771/files (stereoMag.kicad_pcb, 24-5-2026). 2 lagen, 1,0 mm. Alles SOIC/0603/1206, zelf te solderen.</t>
        </is>
      </c>
    </row>
    <row r="4">
      <c r="A4" s="8" t="inlineStr">
        <is>
          <t>Designator</t>
        </is>
      </c>
      <c r="B4" s="8" t="inlineStr">
        <is>
          <t>Waarde / behuizing</t>
        </is>
      </c>
      <c r="C4" s="8" t="inlineStr">
        <is>
          <t>Aantal</t>
        </is>
      </c>
      <c r="D4" s="8" t="inlineStr">
        <is>
          <t>Onderdeel (MPN-advies)</t>
        </is>
      </c>
      <c r="E4" s="8" t="inlineStr">
        <is>
          <t>LCSC #</t>
        </is>
      </c>
      <c r="F4" s="8" t="inlineStr">
        <is>
          <t>Nodig?</t>
        </is>
      </c>
      <c r="G4" s="8" t="inlineStr">
        <is>
          <t>Opmerking</t>
        </is>
      </c>
    </row>
    <row r="5">
      <c r="A5" s="9" t="inlineStr">
        <is>
          <t>PCB</t>
        </is>
      </c>
      <c r="B5" s="9" t="inlineStr">
        <is>
          <t>-</t>
        </is>
      </c>
      <c r="C5" s="9" t="n">
        <v>1</v>
      </c>
      <c r="D5" s="9" t="inlineStr">
        <is>
          <t>2 lagen, 1,0 mm, ENIG (goud voor de randcontacten), afgeschuinde rand optioneel</t>
        </is>
      </c>
      <c r="E5" s="9" t="inlineStr"/>
      <c r="F5" s="9" t="inlineStr">
        <is>
          <t>Nodig</t>
        </is>
      </c>
      <c r="G5" s="9" t="inlineStr">
        <is>
          <t>Bestellen bij JLCPCB/PCBWay; gerbers zelf exporteren uit stereoMag.kicad_pcb (KiCad 9/10).</t>
        </is>
      </c>
    </row>
    <row r="6">
      <c r="A6" s="9" t="inlineStr">
        <is>
          <t>U1</t>
        </is>
      </c>
      <c r="B6" s="9" t="inlineStr">
        <is>
          <t>Flash SOIC-8 (150 mil)</t>
        </is>
      </c>
      <c r="C6" s="9" t="n">
        <v>1</v>
      </c>
      <c r="D6" s="9" t="inlineStr">
        <is>
          <t>Winbond W25Q16JVSNIQ (2 MB)</t>
        </is>
      </c>
      <c r="E6" s="9" t="inlineStr">
        <is>
          <t>C115407</t>
        </is>
      </c>
      <c r="F6" s="9" t="inlineStr">
        <is>
          <t>Nodig</t>
        </is>
      </c>
      <c r="G6" s="9" t="inlineStr">
        <is>
          <t>Hier staat de firmware op. Zonder cartridge start het apparaat niet.</t>
        </is>
      </c>
    </row>
    <row r="7">
      <c r="A7" s="12" t="inlineStr">
        <is>
          <t>J6</t>
        </is>
      </c>
      <c r="B7" s="12" t="inlineStr">
        <is>
          <t>microSD push-push</t>
        </is>
      </c>
      <c r="C7" s="12" t="n">
        <v>1</v>
      </c>
      <c r="D7" s="12" t="inlineStr">
        <is>
          <t>microSD-slot (footprint SparkFun 'microSD_External_Pin')</t>
        </is>
      </c>
      <c r="E7" s="12" t="inlineStr">
        <is>
          <t>C20613191</t>
        </is>
      </c>
      <c r="F7" s="12" t="inlineStr">
        <is>
          <t>Nodig</t>
        </is>
      </c>
      <c r="G7" s="12" t="inlineStr">
        <is>
          <t>LET OP: de ontwerper kocht XYECONN TF-01A (C20613191) en CUI MSD-4-A. Leg de footprint naast de datasheet voor je bestelt. Bedraad als SPI - zie tabblad Let op.</t>
        </is>
      </c>
    </row>
    <row r="8">
      <c r="A8" s="9" t="inlineStr">
        <is>
          <t>C1, C2</t>
        </is>
      </c>
      <c r="B8" s="9" t="inlineStr">
        <is>
          <t>0.1uF 1206</t>
        </is>
      </c>
      <c r="C8" s="9" t="n">
        <v>2</v>
      </c>
      <c r="D8" s="9" t="inlineStr">
        <is>
          <t>CL31B104KBCNNNC</t>
        </is>
      </c>
      <c r="E8" s="9" t="inlineStr">
        <is>
          <t>C24497</t>
        </is>
      </c>
      <c r="F8" s="9" t="inlineStr">
        <is>
          <t>Nodig</t>
        </is>
      </c>
      <c r="G8" s="9" t="inlineStr"/>
    </row>
    <row r="9">
      <c r="A9" s="9" t="inlineStr">
        <is>
          <t>C6, C7, C8</t>
        </is>
      </c>
      <c r="B9" s="9" t="inlineStr">
        <is>
          <t>0.1uF 0603</t>
        </is>
      </c>
      <c r="C9" s="9" t="n">
        <v>3</v>
      </c>
      <c r="D9" s="9" t="inlineStr">
        <is>
          <t>0603 X7R 100 nF</t>
        </is>
      </c>
      <c r="E9" s="9" t="inlineStr"/>
      <c r="F9" s="9" t="inlineStr">
        <is>
          <t>Nodig</t>
        </is>
      </c>
      <c r="G9" s="9" t="inlineStr"/>
    </row>
    <row r="10">
      <c r="A10" s="9" t="inlineStr">
        <is>
          <t>C3</t>
        </is>
      </c>
      <c r="B10" s="9" t="inlineStr">
        <is>
          <t>10uF 0603</t>
        </is>
      </c>
      <c r="C10" s="9" t="n">
        <v>1</v>
      </c>
      <c r="D10" s="9" t="inlineStr">
        <is>
          <t>0603 X5R 10 uF</t>
        </is>
      </c>
      <c r="E10" s="9" t="inlineStr"/>
      <c r="F10" s="9" t="inlineStr">
        <is>
          <t>Nodig</t>
        </is>
      </c>
      <c r="G10" s="9" t="inlineStr"/>
    </row>
    <row r="11">
      <c r="A11" s="9" t="inlineStr">
        <is>
          <t>R1</t>
        </is>
      </c>
      <c r="B11" s="9" t="inlineStr">
        <is>
          <t>470 ohm 0603</t>
        </is>
      </c>
      <c r="C11" s="9" t="n">
        <v>1</v>
      </c>
      <c r="D11" s="9" t="inlineStr">
        <is>
          <t>0603 470 ohm</t>
        </is>
      </c>
      <c r="E11" s="9" t="inlineStr"/>
      <c r="F11" s="9" t="inlineStr">
        <is>
          <t>Nodig</t>
        </is>
      </c>
      <c r="G11" s="9" t="inlineStr">
        <is>
          <t>Voor de LED.</t>
        </is>
      </c>
    </row>
    <row r="12">
      <c r="A12" s="9" t="inlineStr">
        <is>
          <t>R2</t>
        </is>
      </c>
      <c r="B12" s="9" t="inlineStr">
        <is>
          <t>110k 0603</t>
        </is>
      </c>
      <c r="C12" s="9" t="n">
        <v>1</v>
      </c>
      <c r="D12" s="9" t="inlineStr">
        <is>
          <t>0603 110 kohm</t>
        </is>
      </c>
      <c r="E12" s="9" t="inlineStr"/>
      <c r="F12" s="9" t="inlineStr">
        <is>
          <t>Nodig</t>
        </is>
      </c>
      <c r="G12" s="9" t="inlineStr">
        <is>
          <t>In het schema 10k, op de print 110k: neem de waarde van de print.</t>
        </is>
      </c>
    </row>
    <row r="13">
      <c r="A13" s="9" t="inlineStr">
        <is>
          <t>D1</t>
        </is>
      </c>
      <c r="B13" s="9" t="inlineStr">
        <is>
          <t>Groene LED 0603</t>
        </is>
      </c>
      <c r="C13" s="9" t="n">
        <v>1</v>
      </c>
      <c r="D13" s="9" t="inlineStr">
        <is>
          <t>0603 groen</t>
        </is>
      </c>
      <c r="E13" s="9" t="inlineStr"/>
      <c r="F13" s="9" t="inlineStr">
        <is>
          <t>Nodig</t>
        </is>
      </c>
      <c r="G13" s="9" t="inlineStr"/>
    </row>
    <row r="14">
      <c r="A14" s="13" t="inlineStr">
        <is>
          <t>U4</t>
        </is>
      </c>
      <c r="B14" s="13" t="inlineStr">
        <is>
          <t>PSRAM SOIC-8</t>
        </is>
      </c>
      <c r="C14" s="13" t="n">
        <v>1</v>
      </c>
      <c r="D14" s="13" t="inlineStr">
        <is>
          <t>APMemory APS1604M-3SQR</t>
        </is>
      </c>
      <c r="E14" s="13" t="inlineStr"/>
      <c r="F14" s="13" t="inlineStr">
        <is>
          <t>Optioneel</t>
        </is>
      </c>
      <c r="G14" s="13" t="inlineStr">
        <is>
          <t>De firmware gebruikt geen PSRAM (0 bytes).</t>
        </is>
      </c>
    </row>
    <row r="15">
      <c r="A15" s="13" t="inlineStr">
        <is>
          <t>U2</t>
        </is>
      </c>
      <c r="B15" s="13" t="inlineStr">
        <is>
          <t>FRAM SOIC-8</t>
        </is>
      </c>
      <c r="C15" s="13" t="n">
        <v>1</v>
      </c>
      <c r="D15" s="13" t="inlineStr">
        <is>
          <t>FM24CL64B-GTR</t>
        </is>
      </c>
      <c r="E15" s="13" t="inlineStr">
        <is>
          <t>C9829</t>
        </is>
      </c>
      <c r="F15" s="13" t="inlineStr">
        <is>
          <t>Optioneel</t>
        </is>
      </c>
      <c r="G15" s="13" t="inlineStr">
        <is>
          <t>Er zit al FRAM op de hoofdprint.</t>
        </is>
      </c>
    </row>
    <row r="16">
      <c r="A16" s="13" t="inlineStr">
        <is>
          <t>J2</t>
        </is>
      </c>
      <c r="B16" s="13" t="inlineStr">
        <is>
          <t>Header 2x10 SMD</t>
        </is>
      </c>
      <c r="C16" s="13" t="n">
        <v>1</v>
      </c>
      <c r="D16" s="13" t="inlineStr">
        <is>
          <t>Samtec TSM-110-01-S-DH-LC</t>
        </is>
      </c>
      <c r="E16" s="13" t="inlineStr"/>
      <c r="F16" s="13" t="inlineStr">
        <is>
          <t>Optioneel</t>
        </is>
      </c>
      <c r="G16" s="13" t="inlineStr">
        <is>
          <t>Uitbreidingsheader voor ontwikkelaars.</t>
        </is>
      </c>
    </row>
    <row r="17">
      <c r="A17" s="9" t="inlineStr">
        <is>
          <t>-</t>
        </is>
      </c>
      <c r="B17" s="9" t="inlineStr">
        <is>
          <t>Cartridge-behuizing</t>
        </is>
      </c>
      <c r="C17" s="9" t="n">
        <v>1</v>
      </c>
      <c r="D17" s="9" t="inlineStr">
        <is>
          <t>Game Boy (DMG) cartridge-shell + gamebit-schroevendraaier</t>
        </is>
      </c>
      <c r="E17" s="9" t="inlineStr"/>
      <c r="F17" s="9" t="inlineStr">
        <is>
          <t>Nodig</t>
        </is>
      </c>
      <c r="G17" s="9" t="inlineStr">
        <is>
          <t>AliExpress, ca. 2 euro.</t>
        </is>
      </c>
    </row>
  </sheetData>
  <autoFilter ref="A4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8" customWidth="1" min="3" max="3"/>
    <col width="60" customWidth="1" min="4" max="4"/>
    <col width="13" customWidth="1" min="5" max="5"/>
    <col width="90" customWidth="1" min="6" max="6"/>
  </cols>
  <sheetData>
    <row r="1">
      <c r="A1" s="1" t="inlineStr">
        <is>
          <t>Behuizing, scherm en losse onderdelen</t>
        </is>
      </c>
    </row>
    <row r="2">
      <c r="A2" s="2" t="inlineStr">
        <is>
          <t>Vooral AliExpress / Game Boy-onderdelenwinkels (bv. Retro Modding, Kitsch-Bent, Hand Held Legend). Prijzen zijn een indicatie.</t>
        </is>
      </c>
    </row>
    <row r="4">
      <c r="A4" s="8" t="inlineStr">
        <is>
          <t>Wat</t>
        </is>
      </c>
      <c r="B4" s="8" t="inlineStr">
        <is>
          <t>Plek op print</t>
        </is>
      </c>
      <c r="C4" s="8" t="inlineStr">
        <is>
          <t>Aantal</t>
        </is>
      </c>
      <c r="D4" s="8" t="inlineStr">
        <is>
          <t>Omschrijving</t>
        </is>
      </c>
      <c r="E4" s="8" t="inlineStr">
        <is>
          <t>Indicatie EUR</t>
        </is>
      </c>
      <c r="F4" s="8" t="inlineStr">
        <is>
          <t>Opmerking</t>
        </is>
      </c>
    </row>
    <row r="5">
      <c r="A5" s="9" t="inlineStr">
        <is>
          <t>Scherm</t>
        </is>
      </c>
      <c r="B5" s="9" t="inlineStr">
        <is>
          <t>J1</t>
        </is>
      </c>
      <c r="C5" s="9" t="n">
        <v>1</v>
      </c>
      <c r="D5" s="9" t="inlineStr">
        <is>
          <t>1,54" IPS 240x240 ST7789, 12-pins soldeer-FPC (kaal paneel, géén module)</t>
        </is>
      </c>
      <c r="E5" s="9" t="inlineStr">
        <is>
          <t>3 - 5</t>
        </is>
      </c>
      <c r="F5" s="9" t="inlineStr">
        <is>
          <t>Pinout op de print: 1 GND, 2 LEDK, 3 LEDA(3V3), 4 VDD(3V3), 5 GND, 6 GND, 7 DC, 8 CS, 9 SCL, 10 SDA, 11 RES, 12 GND. Vergelijk dit met de listing.</t>
        </is>
      </c>
    </row>
    <row r="6">
      <c r="A6" s="9" t="inlineStr">
        <is>
          <t>DONOR-GBP (aanrader)</t>
        </is>
      </c>
      <c r="B6" s="9" t="inlineStr">
        <is>
          <t>-</t>
        </is>
      </c>
      <c r="C6" s="9" t="n">
        <v>1</v>
      </c>
      <c r="D6" s="9" t="inlineStr">
        <is>
          <t>Kapotte/goedkope Game Boy Pocket: daaruit haal je cartridge-slot, aan/uit-schakelaar, speaker, batterijcontacten, membranen en knoppen</t>
        </is>
      </c>
      <c r="E6" s="9" t="inlineStr">
        <is>
          <t>15 - 30</t>
        </is>
      </c>
      <c r="F6" s="9" t="inlineStr">
        <is>
          <t>Vervangt de regels Cartridge-slot, Aan/uit-schakelaar, Speaker, Batterijcontacten en de membranen hieronder. De shell kun je ook hergebruiken, maar een nieuwe aftermarket-shell oogt mooier.</t>
        </is>
      </c>
    </row>
    <row r="7">
      <c r="A7" s="9" t="inlineStr">
        <is>
          <t>Behuizing</t>
        </is>
      </c>
      <c r="B7" s="9" t="inlineStr">
        <is>
          <t>-</t>
        </is>
      </c>
      <c r="C7" s="9" t="n">
        <v>1</v>
      </c>
      <c r="D7" s="9" t="inlineStr">
        <is>
          <t>Game Boy Pocket-shell (aftermarket) incl. knoppen en siliconen membranen</t>
        </is>
      </c>
      <c r="E7" s="9" t="inlineStr">
        <is>
          <t>8 - 15</t>
        </is>
      </c>
      <c r="F7" s="9" t="inlineStr">
        <is>
          <t>Niet nodig als je de donor-shell hergebruikt. Bestandsnaam 'MGB' = Game Boy Pocket.</t>
        </is>
      </c>
    </row>
    <row r="8">
      <c r="A8" s="9" t="inlineStr">
        <is>
          <t>Batterij-achterkant</t>
        </is>
      </c>
      <c r="B8" s="9" t="inlineStr">
        <is>
          <t>-</t>
        </is>
      </c>
      <c r="C8" s="9" t="n">
        <v>1</v>
      </c>
      <c r="D8" s="9" t="inlineStr">
        <is>
          <t>3D-print: 'AA Battery Pocket Rear V7.stl' + 'AA Battery Cover V4.stl'</t>
        </is>
      </c>
      <c r="E8" s="9" t="inlineStr">
        <is>
          <t>-</t>
        </is>
      </c>
      <c r="F8" s="9" t="inlineStr">
        <is>
          <t>In KiCad_files/stereoBoy_3D. Ook een aangepaste voorkant: 'OEM CURVE FRONT Revised.stl'.</t>
        </is>
      </c>
    </row>
    <row r="9">
      <c r="A9" s="9" t="inlineStr">
        <is>
          <t>Schermlens</t>
        </is>
      </c>
      <c r="B9" s="9" t="inlineStr">
        <is>
          <t>-</t>
        </is>
      </c>
      <c r="C9" s="9" t="n">
        <v>1</v>
      </c>
      <c r="D9" s="9" t="inlineStr">
        <is>
          <t>Lens voor GB Pocket - of zelf maken</t>
        </is>
      </c>
      <c r="E9" s="9" t="inlineStr">
        <is>
          <t>2 - 5</t>
        </is>
      </c>
      <c r="F9" s="9" t="inlineStr">
        <is>
          <t>Het scherm is een vierkant van 1,54"; een standaard GBP-lens heeft een ander venster. Een eigen lens (laser/acryl) is waarschijnlijk nodig.</t>
        </is>
      </c>
    </row>
    <row r="10">
      <c r="A10" s="9" t="inlineStr">
        <is>
          <t>Cartridge-slot</t>
        </is>
      </c>
      <c r="B10" s="9" t="inlineStr">
        <is>
          <t>J3</t>
        </is>
      </c>
      <c r="C10" s="9" t="n">
        <v>1</v>
      </c>
      <c r="D10" s="9" t="inlineStr">
        <is>
          <t>GB Pocket cartridge-connector 32-pins (THT)</t>
        </is>
      </c>
      <c r="E10" s="9" t="inlineStr">
        <is>
          <t>1 - 3</t>
        </is>
      </c>
      <c r="F10" s="9" t="inlineStr">
        <is>
          <t>Zelf solderen.</t>
        </is>
      </c>
    </row>
    <row r="11">
      <c r="A11" s="9" t="inlineStr">
        <is>
          <t>Aan/uit-schakelaar</t>
        </is>
      </c>
      <c r="B11" s="9" t="inlineStr">
        <is>
          <t>SW3</t>
        </is>
      </c>
      <c r="C11" s="9" t="n">
        <v>1</v>
      </c>
      <c r="D11" s="9" t="inlineStr">
        <is>
          <t>GB Pocket power switch (MGB)</t>
        </is>
      </c>
      <c r="E11" s="9" t="inlineStr">
        <is>
          <t>1 - 2</t>
        </is>
      </c>
      <c r="F11" s="9" t="inlineStr"/>
    </row>
    <row r="12">
      <c r="A12" s="9" t="inlineStr">
        <is>
          <t>Speaker</t>
        </is>
      </c>
      <c r="B12" s="9" t="inlineStr">
        <is>
          <t>SPK_CONN1</t>
        </is>
      </c>
      <c r="C12" s="9" t="n">
        <v>1</v>
      </c>
      <c r="D12" s="9" t="inlineStr">
        <is>
          <t>GB Pocket speaker 8 ohm</t>
        </is>
      </c>
      <c r="E12" s="9" t="inlineStr">
        <is>
          <t>1 - 3</t>
        </is>
      </c>
      <c r="F12" s="9" t="inlineStr">
        <is>
          <t>Met 2 draadjes aan SPK_CONN1. Gestuurd door de class-D van de TLV320.</t>
        </is>
      </c>
    </row>
    <row r="13">
      <c r="A13" s="9" t="inlineStr">
        <is>
          <t>Batterijcontacten</t>
        </is>
      </c>
      <c r="B13" s="9" t="inlineStr">
        <is>
          <t>+0 / -0</t>
        </is>
      </c>
      <c r="C13" s="9" t="n">
        <v>1</v>
      </c>
      <c r="D13" s="9" t="inlineStr">
        <is>
          <t>GB Pocket batterijcontacten (+ en -)</t>
        </is>
      </c>
      <c r="E13" s="9" t="inlineStr">
        <is>
          <t>1 - 2</t>
        </is>
      </c>
      <c r="F13" s="9" t="inlineStr">
        <is>
          <t>Footprints 'MGB+BATTERY4' / 'MGB-BATTERY4'.</t>
        </is>
      </c>
    </row>
    <row r="14">
      <c r="A14" s="9" t="inlineStr">
        <is>
          <t>Batterijen</t>
        </is>
      </c>
      <c r="B14" s="9" t="inlineStr">
        <is>
          <t>-</t>
        </is>
      </c>
      <c r="C14" s="9" t="n">
        <v>3</v>
      </c>
      <c r="D14" s="9" t="inlineStr">
        <is>
          <t>AAA-cellen (alkaline ca. 5 u, NiMH ca. 2,5 u)</t>
        </is>
      </c>
      <c r="E14" s="9" t="inlineStr">
        <is>
          <t>-</t>
        </is>
      </c>
      <c r="F14" s="9" t="inlineStr">
        <is>
          <t>R1 volgens Hackaday: 3x AAA. Er zit geen lader op R1, dus laad NiMH extern op.</t>
        </is>
      </c>
    </row>
    <row r="15">
      <c r="A15" s="9" t="inlineStr">
        <is>
          <t>VU-LEDs</t>
        </is>
      </c>
      <c r="B15" s="9" t="inlineStr">
        <is>
          <t>D1-D16</t>
        </is>
      </c>
      <c r="C15" s="9" t="n">
        <v>16</v>
      </c>
      <c r="D15" s="9" t="inlineStr">
        <is>
          <t>3 mm LED, kleur naar keuze</t>
        </is>
      </c>
      <c r="E15" s="9" t="inlineStr">
        <is>
          <t>1</t>
        </is>
      </c>
      <c r="F15" s="9" t="inlineStr">
        <is>
          <t>Staat ook op het tabblad Hoofdprint (THT).</t>
        </is>
      </c>
    </row>
    <row r="16">
      <c r="A16" s="9" t="inlineStr">
        <is>
          <t>Pinheaders</t>
        </is>
      </c>
      <c r="B16" s="9" t="inlineStr">
        <is>
          <t>J10, J11</t>
        </is>
      </c>
      <c r="C16" s="9" t="n">
        <v>2</v>
      </c>
      <c r="D16" s="9" t="inlineStr">
        <is>
          <t>1x05 male 2,54 mm</t>
        </is>
      </c>
      <c r="E16" s="9" t="inlineStr">
        <is>
          <t>&lt;1</t>
        </is>
      </c>
      <c r="F16" s="9" t="inlineStr">
        <is>
          <t>Voor de PSU-module.</t>
        </is>
      </c>
    </row>
    <row r="17">
      <c r="A17" s="9" t="inlineStr">
        <is>
          <t>microSD-kaart</t>
        </is>
      </c>
      <c r="B17" s="9" t="inlineStr">
        <is>
          <t>-</t>
        </is>
      </c>
      <c r="C17" s="9" t="n">
        <v>1</v>
      </c>
      <c r="D17" s="9" t="inlineStr">
        <is>
          <t>microSD, FAT32 (bv. 32 GB)</t>
        </is>
      </c>
      <c r="E17" s="9" t="inlineStr">
        <is>
          <t>5 - 8</t>
        </is>
      </c>
      <c r="F17" s="9" t="inlineStr">
        <is>
          <t>Voor de muziek + cachebestanden.</t>
        </is>
      </c>
    </row>
    <row r="18">
      <c r="A18" s="9" t="inlineStr">
        <is>
          <t>Gereedschap</t>
        </is>
      </c>
      <c r="B18" s="9" t="inlineStr">
        <is>
          <t>-</t>
        </is>
      </c>
      <c r="C18" s="9" t="n">
        <v>1</v>
      </c>
      <c r="D18" s="9" t="inlineStr">
        <is>
          <t>Tri-wing + gamebit-schroevendraaier, flux, fijne soldeerpunt</t>
        </is>
      </c>
      <c r="E18" s="9" t="inlineStr">
        <is>
          <t>5 - 10</t>
        </is>
      </c>
      <c r="F18" s="9" t="inlineStr">
        <is>
          <t>Hete lucht/hotplate alleen nodig als je SMD zelf doet.</t>
        </is>
      </c>
    </row>
    <row r="19">
      <c r="A19" s="9" t="inlineStr">
        <is>
          <t>Optioneel: debugger</t>
        </is>
      </c>
      <c r="B19" s="9" t="inlineStr">
        <is>
          <t>J2/J8</t>
        </is>
      </c>
      <c r="C19" s="9" t="n">
        <v>1</v>
      </c>
      <c r="D19" s="9" t="inlineStr">
        <is>
          <t>Raspberry Pi Debug Probe (SWD)</t>
        </is>
      </c>
      <c r="E19" s="9" t="inlineStr">
        <is>
          <t>12</t>
        </is>
      </c>
      <c r="F19" s="9" t="inlineStr">
        <is>
          <t>Niet nodig: flashen gaat via USB-C (BOOTSEL).</t>
        </is>
      </c>
    </row>
  </sheetData>
  <autoFilter ref="A4:F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90" customWidth="1" min="3" max="3"/>
    <col width="60" customWidth="1" min="4" max="4"/>
  </cols>
  <sheetData>
    <row r="1">
      <c r="A1" s="1" t="inlineStr">
        <is>
          <t>Fouten en tegenstrijdigheden in de bronbestanden</t>
        </is>
      </c>
    </row>
    <row r="2">
      <c r="A2" s="2" t="inlineStr">
        <is>
          <t>Gevonden door het printbestand, het schema, de BOM-bestanden van de ontwerper en de firmware naast elkaar te leggen.</t>
        </is>
      </c>
    </row>
    <row r="4">
      <c r="A4" s="8" t="inlineStr">
        <is>
          <t>Prioriteit</t>
        </is>
      </c>
      <c r="B4" s="8" t="inlineStr">
        <is>
          <t>Onderwerp</t>
        </is>
      </c>
      <c r="C4" s="8" t="inlineStr">
        <is>
          <t>Wat is er aan de hand</t>
        </is>
      </c>
      <c r="D4" s="8" t="inlineStr">
        <is>
          <t>Advies</t>
        </is>
      </c>
    </row>
    <row r="5">
      <c r="A5" s="15" t="inlineStr">
        <is>
          <t>Hoog</t>
        </is>
      </c>
      <c r="B5" s="9" t="inlineStr">
        <is>
          <t>SD-kaart: firmware vs cartridge</t>
        </is>
      </c>
      <c r="C5" s="9" t="inlineStr">
        <is>
          <t>src/hw_config.c gebruikt SDIO (CLK=GPIO12, CMD=13, D0-D3=14-17). De gepubliceerde StereoMag-cartridge sluit de SD-kaart aan op SPI1 (SCK 30, MOSI 31, MISO 28, CS = GPIO2, detect = GPIO41).</t>
        </is>
      </c>
      <c r="D5" s="9" t="inlineStr">
        <is>
          <t>hw_config.c omzetten naar SPI-modus (de FatFS-library kan dat), of een cartridge met SDIO op de HSTX-pinnen ontwerpen.</t>
        </is>
      </c>
    </row>
    <row r="6">
      <c r="A6" s="15" t="inlineStr">
        <is>
          <t>Hoog</t>
        </is>
      </c>
      <c r="B6" s="9" t="inlineStr">
        <is>
          <t>Flash zit op de cartridge</t>
        </is>
      </c>
      <c r="C6" s="9" t="inlineStr">
        <is>
          <t>De RP2350B heeft geen eigen flash; QSPI loopt via de cartridgeconnector.</t>
        </is>
      </c>
      <c r="D6" s="9" t="inlineStr">
        <is>
          <t>Zonder cartridge met flash: geen boot. Flash de firmware met de cartridge erin.</t>
        </is>
      </c>
    </row>
    <row r="7">
      <c r="A7" s="15" t="inlineStr">
        <is>
          <t>Hoog</t>
        </is>
      </c>
      <c r="B7" s="9" t="inlineStr">
        <is>
          <t>U3 boost-converter</t>
        </is>
      </c>
      <c r="C7" s="9" t="inlineStr">
        <is>
          <t>Op de print staat TPS61090 met spanningsdeler R4/R13 (verstelbaar). De LCSC-lijst van de ontwerper heeft TPS61092 (vaste 5V).</t>
        </is>
      </c>
      <c r="D7" s="9" t="inlineStr">
        <is>
          <t>Bestel TPS61090RSAR.</t>
        </is>
      </c>
    </row>
    <row r="8">
      <c r="A8" s="15" t="inlineStr">
        <is>
          <t>Hoog</t>
        </is>
      </c>
      <c r="B8" s="9" t="inlineStr">
        <is>
          <t>Script voor de bibliotheek ontbreekt</t>
        </is>
      </c>
      <c r="C8" s="9" t="inlineStr">
        <is>
          <t>De README noemt een Python-script voor de .sbc-cache, maar dat staat niet in de repo.</t>
        </is>
      </c>
      <c r="D8" s="9" t="inlineStr">
        <is>
          <t>Zelf (laten) schrijven op basis van de structs in lib/sb_util.</t>
        </is>
      </c>
    </row>
    <row r="9">
      <c r="A9" s="12" t="inlineStr">
        <is>
          <t>Midden</t>
        </is>
      </c>
      <c r="B9" s="9" t="inlineStr">
        <is>
          <t>Gerbers verouderd</t>
        </is>
      </c>
      <c r="C9" s="9" t="inlineStr">
        <is>
          <t>De gerber-zip is van 9-3-2026; het printbestand heeft back-ups tot 20-4-2026.</t>
        </is>
      </c>
      <c r="D9" s="9" t="inlineStr">
        <is>
          <t>Exporteer de gerbers opnieuw uit KiCad 10.</t>
        </is>
      </c>
    </row>
    <row r="10">
      <c r="A10" s="12" t="inlineStr">
        <is>
          <t>Midden</t>
        </is>
      </c>
      <c r="B10" s="9" t="inlineStr">
        <is>
          <t>U6 shift register</t>
        </is>
      </c>
      <c r="C10" s="9" t="inlineStr">
        <is>
          <t>Footprint TSSOP-16 (4,4 mm). De ontwerper bestelde SN74HC165DBR (SSOP, 5,3 mm).</t>
        </is>
      </c>
      <c r="D10" s="9" t="inlineStr">
        <is>
          <t>Bestel SN74HC165PWR.</t>
        </is>
      </c>
    </row>
    <row r="11">
      <c r="A11" s="12" t="inlineStr">
        <is>
          <t>Midden</t>
        </is>
      </c>
      <c r="B11" s="9" t="inlineStr">
        <is>
          <t>U14 FRAM</t>
        </is>
      </c>
      <c r="C11" s="9" t="inlineStr">
        <is>
          <t>Op de print staat FM24C64C; FM24C64B (Digikey-lijst) is een 5V-type.</t>
        </is>
      </c>
      <c r="D11" s="9" t="inlineStr">
        <is>
          <t>Bestel FM24CL64B-GTR (3,3 V).</t>
        </is>
      </c>
    </row>
    <row r="12">
      <c r="A12" s="12" t="inlineStr">
        <is>
          <t>Midden</t>
        </is>
      </c>
      <c r="B12" s="9" t="inlineStr">
        <is>
          <t>U5 reset voor het scherm</t>
        </is>
      </c>
      <c r="C12" s="9" t="inlineStr">
        <is>
          <t>LCSC-lijst: APX803L-35 (drempel 3,5 V op een 3,3V-lijn = het scherm blijft in reset).</t>
        </is>
      </c>
      <c r="D12" s="9" t="inlineStr">
        <is>
          <t>Bestel APX803S-31SA-7 (Digikey-lijst).</t>
        </is>
      </c>
    </row>
    <row r="13">
      <c r="A13" s="12" t="inlineStr">
        <is>
          <t>Midden</t>
        </is>
      </c>
      <c r="B13" s="9" t="inlineStr">
        <is>
          <t>U1 decoder</t>
        </is>
      </c>
      <c r="C13" s="9" t="inlineStr">
        <is>
          <t>Hackaday noemt de VS1063, de LCSC-lijst ook. Print en firmware gaan uit van de VS1053B.</t>
        </is>
      </c>
      <c r="D13" s="9" t="inlineStr">
        <is>
          <t>Bestel VS1053B-L.</t>
        </is>
      </c>
    </row>
    <row r="14">
      <c r="A14" s="9" t="inlineStr">
        <is>
          <t>Laag</t>
        </is>
      </c>
      <c r="B14" s="9" t="inlineStr">
        <is>
          <t>L4/L5</t>
        </is>
      </c>
      <c r="C14" s="9" t="inlineStr">
        <is>
          <t>Footprint 3x3 mm (ANR3012), maar het MPN-veld zegt XAL4020 (4x4 mm).</t>
        </is>
      </c>
      <c r="D14" s="9" t="inlineStr">
        <is>
          <t>AMELA3012S-2R2MT (3x3).</t>
        </is>
      </c>
    </row>
    <row r="15">
      <c r="A15" s="9" t="inlineStr">
        <is>
          <t>Laag</t>
        </is>
      </c>
      <c r="B15" s="9" t="inlineStr">
        <is>
          <t>C1/C2 tantaal</t>
        </is>
      </c>
      <c r="C15" s="9" t="inlineStr">
        <is>
          <t>Footprint W-case (laag, 7343-15). De ontwerper kocht een D-case (3,1 mm hoog).</t>
        </is>
      </c>
      <c r="D15" s="9" t="inlineStr">
        <is>
          <t>Neem een W-case of een andere lage behuizing, i.v.m. de ruimte in de shell.</t>
        </is>
      </c>
    </row>
    <row r="16">
      <c r="A16" s="9" t="inlineStr">
        <is>
          <t>Laag</t>
        </is>
      </c>
      <c r="B16" s="9" t="inlineStr">
        <is>
          <t>BZ1 zoemer</t>
        </is>
      </c>
      <c r="C16" s="9" t="inlineStr">
        <is>
          <t>Footprint CUI CPT-9019S, 3D-model Murata PKMCS0909E.</t>
        </is>
      </c>
      <c r="D16" s="9" t="inlineStr">
        <is>
          <t>Controleer of de pads overeenkomen.</t>
        </is>
      </c>
    </row>
    <row r="17">
      <c r="A17" s="9" t="inlineStr">
        <is>
          <t>Opgelost</t>
        </is>
      </c>
      <c r="B17" s="9" t="inlineStr">
        <is>
          <t>Knoppen</t>
        </is>
      </c>
      <c r="C17" s="9" t="inlineStr">
        <is>
          <t>A/B, D-pad en Select/Start hebben het originele GB-contactpatroon.</t>
        </is>
      </c>
      <c r="D17" s="9" t="inlineStr">
        <is>
          <t>Gewoon GBP-membranen gebruiken. SW1/SW2 (reset/BOOTSEL) = KMR221GLFS, wordt door JLC geplaatst.</t>
        </is>
      </c>
    </row>
    <row r="18">
      <c r="A18" s="9" t="inlineStr">
        <is>
          <t>Info</t>
        </is>
      </c>
      <c r="B18" s="9" t="inlineStr">
        <is>
          <t>KiCad-versie</t>
        </is>
      </c>
      <c r="C18" s="9" t="inlineStr">
        <is>
          <t>Het printbestand is KiCad 10-formaat (generator 10.0).</t>
        </is>
      </c>
      <c r="D18" s="9" t="inlineStr">
        <is>
          <t>Installeer KiCad 10.</t>
        </is>
      </c>
    </row>
  </sheetData>
  <autoFilter ref="A4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2026-10-01T12:27:52Z</dcterms:created>
  <dcterms:modified xmlns:dcterms="http://purl.org/dc/terms/" xmlns:xsi="http://www.w3.org/2001/XMLSchema-instance" xsi:type="dcterms:W3CDTF">2026-10-01T12:27:52Z</dcterms:modified>
</cp:coreProperties>
</file>